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<sst xmlns="http://schemas.openxmlformats.org/spreadsheetml/2006/main" count="51" uniqueCount="43">
  <si>
    <t>BLUE SKY INDIA LIMITED</t>
  </si>
  <si>
    <t>B-126, Rear Side Basement Malviya Nagar,Vatva GIDC,Ahmedabad-380028</t>
  </si>
  <si>
    <t xml:space="preserve">Invoice No. </t>
  </si>
  <si>
    <t>545 / 2017-18</t>
  </si>
  <si>
    <t>Billing Address</t>
  </si>
  <si>
    <t>Supply Address</t>
  </si>
  <si>
    <t>Invoice Date</t>
  </si>
  <si>
    <t>12-06-2017</t>
  </si>
  <si>
    <t>Due Date:</t>
  </si>
  <si>
    <t>12-07-2017</t>
  </si>
  <si>
    <t>A TO Z TRADING CO</t>
  </si>
  <si>
    <t xml:space="preserve">G.R. NO. </t>
  </si>
  <si>
    <t>D-1234, Okhla Industrial Area,</t>
  </si>
  <si>
    <t>Order No.</t>
  </si>
  <si>
    <t>PP/23</t>
  </si>
  <si>
    <t>Vatva GIDC,Ahmedabad-380028</t>
  </si>
  <si>
    <t xml:space="preserve"> </t>
  </si>
  <si>
    <t>Vehical Number</t>
  </si>
  <si>
    <t>GJ01BT1234</t>
  </si>
  <si>
    <t>Phone : 013552124512</t>
  </si>
  <si>
    <t>Transporatation Detail</t>
  </si>
  <si>
    <t>JAMNAGAR TRANSPORT</t>
  </si>
  <si>
    <t>GSTIN : 24EDFCS4567E1ZK</t>
  </si>
  <si>
    <t>Transport GSTN</t>
  </si>
  <si>
    <t>24AAAAA1234A1ZA</t>
  </si>
  <si>
    <t>S.N.</t>
  </si>
  <si>
    <t>DESCRIPTION</t>
  </si>
  <si>
    <t>HSN CODE</t>
  </si>
  <si>
    <t>QTY</t>
  </si>
  <si>
    <t>RATE</t>
  </si>
  <si>
    <t>TOTAL</t>
  </si>
  <si>
    <t>Utti ncidu ntvolut paturna</t>
  </si>
  <si>
    <t>Curabiturposuere quam velnibh</t>
  </si>
  <si>
    <t>Vestibulumquis dolor a feliscongue</t>
  </si>
  <si>
    <t>Freight Charges</t>
  </si>
  <si>
    <t>Sub Total</t>
  </si>
  <si>
    <t>SGST @ 9 %</t>
  </si>
  <si>
    <t>CGST @ 9 %</t>
  </si>
  <si>
    <t>Total Due</t>
  </si>
  <si>
    <t>IN WORDS:</t>
  </si>
  <si>
    <r>
      <rPr>
        <b/>
        <sz val="10"/>
        <color theme="2" tint="-0.499984740745262"/>
        <rFont val="Calibri"/>
        <charset val="134"/>
        <scheme val="minor"/>
      </rPr>
      <t xml:space="preserve">TERMS AND CONDITIONS
</t>
    </r>
    <r>
      <rPr>
        <sz val="10"/>
        <color theme="2" tint="-0.499984740745262"/>
        <rFont val="Calibri"/>
        <charset val="134"/>
        <scheme val="minor"/>
      </rPr>
      <t>Please send payment within 30 days of receiving this invoice. There will be a 1.5% interest charge per month on late invoices.</t>
    </r>
    <r>
      <rPr>
        <b/>
        <sz val="10"/>
        <color theme="2" tint="-0.499984740745262"/>
        <rFont val="Calibri"/>
        <charset val="134"/>
        <scheme val="minor"/>
      </rPr>
      <t xml:space="preserve">
PLEASE MAKE A PAYMENT TO
</t>
    </r>
    <r>
      <rPr>
        <sz val="10"/>
        <color theme="2" tint="-0.499984740745262"/>
        <rFont val="Calibri"/>
        <charset val="134"/>
        <scheme val="minor"/>
      </rPr>
      <t>Beneficiary Name: [Company Name]
Beneficiary Account Number: [1234567890]
Bank Name and Address: [Bank Name and Address]
Bank Swift Code: [1234567890]
IBAN Number: [1234567890</t>
    </r>
  </si>
  <si>
    <t>Authorized Signatory</t>
  </si>
  <si>
    <t xml:space="preserve">Thank you for being our valued customers !!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</si>
</sst>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00"/>
    <numFmt numFmtId="178" formatCode="&quot;Sales Tax &quot;#&quot;%&quot;"/>
  </numFmts>
  <fonts count="44">
    <font>
      <sz val="11"/>
      <color theme="1"/>
      <name val="Calibri"/>
      <charset val="134"/>
      <scheme val="minor"/>
    </font>
    <font>
      <sz val="11"/>
      <color rgb="FF7030A0"/>
      <name val="Calibri"/>
      <charset val="134"/>
      <scheme val="minor"/>
    </font>
    <font>
      <sz val="10"/>
      <color theme="1" tint="0.499984740745262"/>
      <name val="Calibri"/>
      <charset val="134"/>
      <scheme val="minor"/>
    </font>
    <font>
      <sz val="11"/>
      <color theme="1" tint="0.499984740745262"/>
      <name val="Calibri"/>
      <charset val="134"/>
      <scheme val="minor"/>
    </font>
    <font>
      <sz val="20"/>
      <color theme="4" tint="-0.249977111117893"/>
      <name val="Cambria"/>
      <charset val="134"/>
      <scheme val="major"/>
    </font>
    <font>
      <b/>
      <sz val="28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0"/>
      <color theme="0"/>
      <name val="Calibri"/>
      <charset val="134"/>
      <scheme val="minor"/>
    </font>
    <font>
      <b/>
      <sz val="10"/>
      <color theme="1" tint="0.149998474074526"/>
      <name val="Calibri"/>
      <charset val="134"/>
      <scheme val="minor"/>
    </font>
    <font>
      <b/>
      <sz val="12"/>
      <color theme="0"/>
      <name val="Cambria"/>
      <charset val="134"/>
      <scheme val="major"/>
    </font>
    <font>
      <sz val="11"/>
      <color theme="1" tint="0.149998474074526"/>
      <name val="Calibri"/>
      <charset val="134"/>
      <scheme val="minor"/>
    </font>
    <font>
      <b/>
      <sz val="10"/>
      <color indexed="8"/>
      <name val="Arial"/>
      <charset val="134"/>
    </font>
    <font>
      <b/>
      <sz val="10"/>
      <color theme="1"/>
      <name val="Calibri"/>
      <charset val="134"/>
      <scheme val="minor"/>
    </font>
    <font>
      <sz val="10"/>
      <color indexed="8"/>
      <name val="Arial"/>
      <charset val="134"/>
    </font>
    <font>
      <b/>
      <sz val="11"/>
      <color theme="1"/>
      <name val="Calibri"/>
      <charset val="134"/>
      <scheme val="minor"/>
    </font>
    <font>
      <b/>
      <sz val="11"/>
      <color theme="1" tint="0.149998474074526"/>
      <name val="Calibri"/>
      <charset val="134"/>
      <scheme val="minor"/>
    </font>
    <font>
      <sz val="10"/>
      <color theme="1" tint="0.149998474074526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0"/>
      <color theme="2" tint="-0.499984740745262"/>
      <name val="Calibri"/>
      <charset val="134"/>
      <scheme val="minor"/>
    </font>
    <font>
      <b/>
      <sz val="10"/>
      <name val="Calibri"/>
      <charset val="134"/>
      <scheme val="minor"/>
    </font>
    <font>
      <sz val="11"/>
      <color theme="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theme="2" tint="-0.499984740745262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26"/>
      </patternFill>
    </fill>
    <fill>
      <patternFill patternType="solid">
        <fgColor theme="0" tint="-0.149998474074526"/>
        <bgColor indexed="9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/>
      <top style="medium">
        <color auto="1"/>
      </top>
      <bottom style="thin">
        <color theme="0"/>
      </bottom>
      <diagonal/>
    </border>
    <border>
      <left/>
      <right/>
      <top style="medium">
        <color auto="1"/>
      </top>
      <bottom style="thin">
        <color theme="0"/>
      </bottom>
      <diagonal/>
    </border>
    <border>
      <left/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medium">
        <color auto="1"/>
      </right>
      <top style="medium">
        <color auto="1"/>
      </top>
      <bottom style="thin">
        <color theme="0"/>
      </bottom>
      <diagonal/>
    </border>
    <border>
      <left style="medium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auto="1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medium">
        <color auto="1"/>
      </right>
      <top style="thin">
        <color theme="0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medium">
        <color auto="1"/>
      </right>
      <top/>
      <bottom style="thin">
        <color theme="0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theme="0"/>
      </right>
      <top style="thin">
        <color auto="1"/>
      </top>
      <bottom style="medium">
        <color auto="1"/>
      </bottom>
      <diagonal/>
    </border>
    <border>
      <left style="thin">
        <color theme="0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8" borderId="43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44" applyNumberFormat="0" applyFill="0" applyAlignment="0" applyProtection="0">
      <alignment vertical="center"/>
    </xf>
    <xf numFmtId="0" fontId="30" fillId="0" borderId="44" applyNumberFormat="0" applyFill="0" applyAlignment="0" applyProtection="0">
      <alignment vertical="center"/>
    </xf>
    <xf numFmtId="0" fontId="31" fillId="0" borderId="45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9" borderId="46" applyNumberFormat="0" applyAlignment="0" applyProtection="0">
      <alignment vertical="center"/>
    </xf>
    <xf numFmtId="0" fontId="33" fillId="10" borderId="47" applyNumberFormat="0" applyAlignment="0" applyProtection="0">
      <alignment vertical="center"/>
    </xf>
    <xf numFmtId="0" fontId="34" fillId="10" borderId="46" applyNumberFormat="0" applyAlignment="0" applyProtection="0">
      <alignment vertical="center"/>
    </xf>
    <xf numFmtId="0" fontId="35" fillId="11" borderId="48" applyNumberFormat="0" applyAlignment="0" applyProtection="0">
      <alignment vertical="center"/>
    </xf>
    <xf numFmtId="0" fontId="36" fillId="0" borderId="49" applyNumberFormat="0" applyFill="0" applyAlignment="0" applyProtection="0">
      <alignment vertical="center"/>
    </xf>
    <xf numFmtId="0" fontId="37" fillId="0" borderId="50" applyNumberFormat="0" applyFill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/>
    <xf numFmtId="0" fontId="42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</cellStyleXfs>
  <cellXfs count="111">
    <xf numFmtId="0" fontId="0" fillId="0" borderId="0" xfId="0"/>
    <xf numFmtId="0" fontId="0" fillId="0" borderId="0" xfId="0" applyFont="1" applyAlignment="1">
      <alignment vertical="center"/>
    </xf>
    <xf numFmtId="0" fontId="0" fillId="2" borderId="0" xfId="0" applyFont="1" applyFill="1"/>
    <xf numFmtId="0" fontId="0" fillId="0" borderId="0" xfId="0" applyFont="1"/>
    <xf numFmtId="0" fontId="0" fillId="2" borderId="1" xfId="0" applyFont="1" applyFill="1" applyBorder="1"/>
    <xf numFmtId="0" fontId="0" fillId="2" borderId="2" xfId="0" applyFont="1" applyFill="1" applyBorder="1"/>
    <xf numFmtId="0" fontId="1" fillId="2" borderId="2" xfId="0" applyFont="1" applyFill="1" applyBorder="1"/>
    <xf numFmtId="0" fontId="2" fillId="2" borderId="2" xfId="0" applyFont="1" applyFill="1" applyBorder="1"/>
    <xf numFmtId="0" fontId="3" fillId="2" borderId="2" xfId="0" applyFont="1" applyFill="1" applyBorder="1"/>
    <xf numFmtId="0" fontId="4" fillId="2" borderId="3" xfId="0" applyFont="1" applyFill="1" applyBorder="1" applyAlignment="1">
      <alignment horizontal="right"/>
    </xf>
    <xf numFmtId="0" fontId="5" fillId="2" borderId="4" xfId="0" applyFont="1" applyFill="1" applyBorder="1"/>
    <xf numFmtId="0" fontId="0" fillId="2" borderId="0" xfId="0" applyFont="1" applyFill="1" applyBorder="1"/>
    <xf numFmtId="0" fontId="1" fillId="2" borderId="0" xfId="0" applyFont="1" applyFill="1" applyBorder="1"/>
    <xf numFmtId="0" fontId="2" fillId="2" borderId="0" xfId="0" applyFont="1" applyFill="1" applyBorder="1"/>
    <xf numFmtId="0" fontId="3" fillId="2" borderId="0" xfId="0" applyFont="1" applyFill="1" applyBorder="1"/>
    <xf numFmtId="0" fontId="4" fillId="2" borderId="5" xfId="0" applyFont="1" applyFill="1" applyBorder="1" applyAlignment="1">
      <alignment horizontal="right"/>
    </xf>
    <xf numFmtId="0" fontId="6" fillId="3" borderId="6" xfId="0" applyFont="1" applyFill="1" applyBorder="1" applyAlignment="1">
      <alignment vertical="center"/>
    </xf>
    <xf numFmtId="0" fontId="7" fillId="3" borderId="7" xfId="0" applyFont="1" applyFill="1" applyBorder="1"/>
    <xf numFmtId="0" fontId="8" fillId="3" borderId="7" xfId="0" applyFont="1" applyFill="1" applyBorder="1"/>
    <xf numFmtId="0" fontId="7" fillId="3" borderId="8" xfId="0" applyFont="1" applyFill="1" applyBorder="1"/>
    <xf numFmtId="0" fontId="0" fillId="0" borderId="4" xfId="0" applyFont="1" applyBorder="1"/>
    <xf numFmtId="0" fontId="0" fillId="0" borderId="0" xfId="0" applyFont="1" applyBorder="1"/>
    <xf numFmtId="0" fontId="0" fillId="0" borderId="5" xfId="0" applyFont="1" applyBorder="1"/>
    <xf numFmtId="0" fontId="9" fillId="2" borderId="9" xfId="0" applyFont="1" applyFill="1" applyBorder="1" applyAlignment="1">
      <alignment horizontal="left"/>
    </xf>
    <xf numFmtId="0" fontId="10" fillId="3" borderId="10" xfId="0" applyFont="1" applyFill="1" applyBorder="1" applyAlignment="1">
      <alignment vertical="top"/>
    </xf>
    <xf numFmtId="0" fontId="8" fillId="3" borderId="10" xfId="0" applyFont="1" applyFill="1" applyBorder="1"/>
    <xf numFmtId="0" fontId="7" fillId="3" borderId="10" xfId="0" applyFont="1" applyFill="1" applyBorder="1"/>
    <xf numFmtId="0" fontId="10" fillId="3" borderId="11" xfId="0" applyFont="1" applyFill="1" applyBorder="1" applyAlignment="1">
      <alignment vertical="top"/>
    </xf>
    <xf numFmtId="0" fontId="7" fillId="3" borderId="12" xfId="0" applyFont="1" applyFill="1" applyBorder="1"/>
    <xf numFmtId="49" fontId="9" fillId="2" borderId="9" xfId="0" applyNumberFormat="1" applyFont="1" applyFill="1" applyBorder="1" applyAlignment="1">
      <alignment horizontal="left"/>
    </xf>
    <xf numFmtId="0" fontId="0" fillId="4" borderId="0" xfId="0" applyFont="1" applyFill="1" applyBorder="1"/>
    <xf numFmtId="0" fontId="11" fillId="4" borderId="0" xfId="0" applyFont="1" applyFill="1" applyBorder="1" applyAlignment="1">
      <alignment vertical="top"/>
    </xf>
    <xf numFmtId="0" fontId="11" fillId="4" borderId="0" xfId="0" applyFont="1" applyFill="1" applyBorder="1"/>
    <xf numFmtId="0" fontId="0" fillId="4" borderId="13" xfId="0" applyFont="1" applyFill="1" applyBorder="1"/>
    <xf numFmtId="0" fontId="11" fillId="4" borderId="5" xfId="0" applyFont="1" applyFill="1" applyBorder="1"/>
    <xf numFmtId="0" fontId="12" fillId="5" borderId="0" xfId="0" applyFont="1" applyFill="1" applyBorder="1" applyProtection="1">
      <protection locked="0"/>
    </xf>
    <xf numFmtId="0" fontId="12" fillId="5" borderId="13" xfId="0" applyFont="1" applyFill="1" applyBorder="1" applyProtection="1">
      <protection locked="0"/>
    </xf>
    <xf numFmtId="0" fontId="13" fillId="2" borderId="9" xfId="0" applyFont="1" applyFill="1" applyBorder="1"/>
    <xf numFmtId="0" fontId="13" fillId="2" borderId="9" xfId="0" applyFont="1" applyFill="1" applyBorder="1" applyAlignment="1">
      <alignment horizontal="left"/>
    </xf>
    <xf numFmtId="0" fontId="14" fillId="5" borderId="0" xfId="0" applyFont="1" applyFill="1" applyBorder="1" applyProtection="1">
      <protection locked="0"/>
    </xf>
    <xf numFmtId="0" fontId="14" fillId="5" borderId="13" xfId="0" applyFont="1" applyFill="1" applyBorder="1" applyProtection="1">
      <protection locked="0"/>
    </xf>
    <xf numFmtId="0" fontId="13" fillId="2" borderId="9" xfId="0" applyFont="1" applyFill="1" applyBorder="1" applyAlignment="1">
      <alignment vertical="center"/>
    </xf>
    <xf numFmtId="0" fontId="13" fillId="2" borderId="9" xfId="0" applyFont="1" applyFill="1" applyBorder="1" applyAlignment="1">
      <alignment horizontal="left" vertical="center"/>
    </xf>
    <xf numFmtId="0" fontId="11" fillId="4" borderId="0" xfId="0" applyFont="1" applyFill="1" applyBorder="1" applyAlignment="1">
      <alignment vertical="center"/>
    </xf>
    <xf numFmtId="0" fontId="0" fillId="4" borderId="0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15" fillId="2" borderId="9" xfId="0" applyFont="1" applyFill="1" applyBorder="1"/>
    <xf numFmtId="0" fontId="14" fillId="6" borderId="0" xfId="0" applyFont="1" applyFill="1" applyBorder="1" applyProtection="1">
      <protection locked="0"/>
    </xf>
    <xf numFmtId="0" fontId="16" fillId="2" borderId="9" xfId="0" applyFont="1" applyFill="1" applyBorder="1"/>
    <xf numFmtId="58" fontId="9" fillId="2" borderId="9" xfId="0" applyNumberFormat="1" applyFont="1" applyFill="1" applyBorder="1" applyAlignment="1">
      <alignment horizontal="left" indent="1"/>
    </xf>
    <xf numFmtId="0" fontId="12" fillId="6" borderId="0" xfId="0" applyFont="1" applyFill="1" applyBorder="1" applyProtection="1"/>
    <xf numFmtId="0" fontId="12" fillId="6" borderId="13" xfId="0" applyFont="1" applyFill="1" applyBorder="1" applyProtection="1"/>
    <xf numFmtId="0" fontId="17" fillId="4" borderId="14" xfId="0" applyFont="1" applyFill="1" applyBorder="1"/>
    <xf numFmtId="0" fontId="11" fillId="4" borderId="14" xfId="0" applyFont="1" applyFill="1" applyBorder="1"/>
    <xf numFmtId="0" fontId="17" fillId="4" borderId="14" xfId="0" applyFont="1" applyFill="1" applyBorder="1" applyAlignment="1"/>
    <xf numFmtId="0" fontId="17" fillId="4" borderId="15" xfId="0" applyFont="1" applyFill="1" applyBorder="1" applyAlignment="1"/>
    <xf numFmtId="0" fontId="11" fillId="4" borderId="16" xfId="0" applyFont="1" applyFill="1" applyBorder="1"/>
    <xf numFmtId="0" fontId="0" fillId="2" borderId="4" xfId="0" applyFont="1" applyFill="1" applyBorder="1"/>
    <xf numFmtId="0" fontId="0" fillId="2" borderId="5" xfId="0" applyFont="1" applyFill="1" applyBorder="1"/>
    <xf numFmtId="0" fontId="18" fillId="3" borderId="17" xfId="0" applyFont="1" applyFill="1" applyBorder="1" applyAlignment="1">
      <alignment horizontal="center" vertical="center"/>
    </xf>
    <xf numFmtId="0" fontId="18" fillId="3" borderId="18" xfId="0" applyFont="1" applyFill="1" applyBorder="1" applyAlignment="1">
      <alignment vertical="center"/>
    </xf>
    <xf numFmtId="0" fontId="18" fillId="3" borderId="19" xfId="0" applyFont="1" applyFill="1" applyBorder="1" applyAlignment="1">
      <alignment vertical="center"/>
    </xf>
    <xf numFmtId="0" fontId="18" fillId="3" borderId="19" xfId="0" applyFont="1" applyFill="1" applyBorder="1" applyAlignment="1">
      <alignment horizontal="center" vertical="center"/>
    </xf>
    <xf numFmtId="0" fontId="18" fillId="3" borderId="20" xfId="0" applyFont="1" applyFill="1" applyBorder="1" applyAlignment="1">
      <alignment horizontal="center" vertical="center"/>
    </xf>
    <xf numFmtId="0" fontId="18" fillId="3" borderId="21" xfId="0" applyFont="1" applyFill="1" applyBorder="1" applyAlignment="1">
      <alignment horizontal="center" vertical="center"/>
    </xf>
    <xf numFmtId="0" fontId="18" fillId="3" borderId="22" xfId="0" applyFont="1" applyFill="1" applyBorder="1" applyAlignment="1">
      <alignment horizontal="center" vertical="center"/>
    </xf>
    <xf numFmtId="177" fontId="16" fillId="7" borderId="23" xfId="42" applyNumberFormat="1" applyFont="1" applyFill="1" applyBorder="1" applyAlignment="1">
      <alignment horizontal="center" vertical="center"/>
    </xf>
    <xf numFmtId="0" fontId="11" fillId="7" borderId="24" xfId="42" applyFont="1" applyFill="1" applyBorder="1" applyAlignment="1">
      <alignment vertical="center"/>
    </xf>
    <xf numFmtId="0" fontId="11" fillId="7" borderId="25" xfId="42" applyFont="1" applyFill="1" applyBorder="1" applyAlignment="1">
      <alignment vertical="center"/>
    </xf>
    <xf numFmtId="0" fontId="11" fillId="7" borderId="24" xfId="42" applyFont="1" applyFill="1" applyBorder="1" applyAlignment="1">
      <alignment horizontal="center" vertical="center"/>
    </xf>
    <xf numFmtId="0" fontId="11" fillId="7" borderId="26" xfId="42" applyFont="1" applyFill="1" applyBorder="1" applyAlignment="1">
      <alignment horizontal="center" vertical="center"/>
    </xf>
    <xf numFmtId="0" fontId="11" fillId="7" borderId="27" xfId="42" applyFont="1" applyFill="1" applyBorder="1" applyAlignment="1">
      <alignment horizontal="center" vertical="center"/>
    </xf>
    <xf numFmtId="2" fontId="11" fillId="7" borderId="27" xfId="1" applyNumberFormat="1" applyFont="1" applyFill="1" applyBorder="1" applyAlignment="1">
      <alignment horizontal="center" vertical="center"/>
    </xf>
    <xf numFmtId="2" fontId="11" fillId="7" borderId="28" xfId="2" applyNumberFormat="1" applyFont="1" applyFill="1" applyBorder="1" applyAlignment="1">
      <alignment horizontal="center" vertical="center"/>
    </xf>
    <xf numFmtId="0" fontId="17" fillId="7" borderId="25" xfId="42" applyFont="1" applyFill="1" applyBorder="1" applyAlignment="1">
      <alignment vertical="center"/>
    </xf>
    <xf numFmtId="0" fontId="17" fillId="7" borderId="24" xfId="42" applyFont="1" applyFill="1" applyBorder="1" applyAlignment="1">
      <alignment horizontal="center" vertical="center"/>
    </xf>
    <xf numFmtId="0" fontId="17" fillId="7" borderId="26" xfId="42" applyFont="1" applyFill="1" applyBorder="1" applyAlignment="1">
      <alignment horizontal="center" vertical="center"/>
    </xf>
    <xf numFmtId="0" fontId="17" fillId="7" borderId="27" xfId="42" applyFont="1" applyFill="1" applyBorder="1" applyAlignment="1">
      <alignment horizontal="center" vertical="center"/>
    </xf>
    <xf numFmtId="2" fontId="17" fillId="7" borderId="27" xfId="1" applyNumberFormat="1" applyFont="1" applyFill="1" applyBorder="1" applyAlignment="1">
      <alignment horizontal="center" vertical="center"/>
    </xf>
    <xf numFmtId="178" fontId="19" fillId="7" borderId="4" xfId="0" applyNumberFormat="1" applyFont="1" applyFill="1" applyBorder="1" applyAlignment="1">
      <alignment horizontal="right" vertical="center"/>
    </xf>
    <xf numFmtId="178" fontId="19" fillId="7" borderId="0" xfId="0" applyNumberFormat="1" applyFont="1" applyFill="1" applyBorder="1" applyAlignment="1">
      <alignment horizontal="right" vertical="center"/>
    </xf>
    <xf numFmtId="178" fontId="19" fillId="7" borderId="29" xfId="0" applyNumberFormat="1" applyFont="1" applyFill="1" applyBorder="1" applyAlignment="1">
      <alignment horizontal="right" vertical="center"/>
    </xf>
    <xf numFmtId="2" fontId="11" fillId="7" borderId="30" xfId="2" applyNumberFormat="1" applyFont="1" applyFill="1" applyBorder="1" applyAlignment="1">
      <alignment horizontal="center" vertical="center"/>
    </xf>
    <xf numFmtId="0" fontId="6" fillId="3" borderId="31" xfId="0" applyFont="1" applyFill="1" applyBorder="1" applyAlignment="1">
      <alignment horizontal="right" vertical="center"/>
    </xf>
    <xf numFmtId="0" fontId="6" fillId="3" borderId="32" xfId="0" applyFont="1" applyFill="1" applyBorder="1" applyAlignment="1">
      <alignment horizontal="right" vertical="center"/>
    </xf>
    <xf numFmtId="0" fontId="6" fillId="3" borderId="33" xfId="0" applyFont="1" applyFill="1" applyBorder="1" applyAlignment="1">
      <alignment horizontal="right" vertical="center"/>
    </xf>
    <xf numFmtId="2" fontId="7" fillId="3" borderId="34" xfId="2" applyNumberFormat="1" applyFont="1" applyFill="1" applyBorder="1" applyAlignment="1">
      <alignment horizontal="center" vertical="center"/>
    </xf>
    <xf numFmtId="0" fontId="19" fillId="7" borderId="4" xfId="0" applyFont="1" applyFill="1" applyBorder="1" applyAlignment="1">
      <alignment horizontal="right" vertical="center"/>
    </xf>
    <xf numFmtId="0" fontId="19" fillId="7" borderId="0" xfId="0" applyFont="1" applyFill="1" applyBorder="1" applyAlignment="1">
      <alignment horizontal="right" vertical="center"/>
    </xf>
    <xf numFmtId="0" fontId="19" fillId="7" borderId="29" xfId="0" applyFont="1" applyFill="1" applyBorder="1" applyAlignment="1">
      <alignment horizontal="right" vertical="center"/>
    </xf>
    <xf numFmtId="2" fontId="11" fillId="7" borderId="35" xfId="2" applyNumberFormat="1" applyFont="1" applyFill="1" applyBorder="1" applyAlignment="1">
      <alignment horizontal="center" vertical="center"/>
    </xf>
    <xf numFmtId="0" fontId="6" fillId="3" borderId="36" xfId="0" applyFont="1" applyFill="1" applyBorder="1" applyAlignment="1">
      <alignment horizontal="right"/>
    </xf>
    <xf numFmtId="0" fontId="6" fillId="3" borderId="37" xfId="0" applyFont="1" applyFill="1" applyBorder="1" applyAlignment="1">
      <alignment horizontal="right"/>
    </xf>
    <xf numFmtId="0" fontId="6" fillId="3" borderId="38" xfId="0" applyFont="1" applyFill="1" applyBorder="1" applyAlignment="1">
      <alignment horizontal="right"/>
    </xf>
    <xf numFmtId="2" fontId="6" fillId="3" borderId="39" xfId="2" applyNumberFormat="1" applyFont="1" applyFill="1" applyBorder="1" applyAlignment="1">
      <alignment horizontal="center" vertical="center"/>
    </xf>
    <xf numFmtId="0" fontId="0" fillId="2" borderId="6" xfId="0" applyFont="1" applyFill="1" applyBorder="1"/>
    <xf numFmtId="0" fontId="20" fillId="2" borderId="7" xfId="0" applyFont="1" applyFill="1" applyBorder="1" applyAlignment="1">
      <alignment vertical="top"/>
    </xf>
    <xf numFmtId="0" fontId="0" fillId="2" borderId="7" xfId="0" applyFont="1" applyFill="1" applyBorder="1"/>
    <xf numFmtId="0" fontId="0" fillId="2" borderId="7" xfId="0" applyFont="1" applyFill="1" applyBorder="1" applyAlignment="1">
      <alignment horizontal="right" vertical="center"/>
    </xf>
    <xf numFmtId="0" fontId="0" fillId="2" borderId="8" xfId="0" applyFont="1" applyFill="1" applyBorder="1"/>
    <xf numFmtId="0" fontId="20" fillId="2" borderId="0" xfId="0" applyFont="1" applyFill="1" applyBorder="1" applyAlignment="1">
      <alignment vertical="top"/>
    </xf>
    <xf numFmtId="0" fontId="0" fillId="2" borderId="0" xfId="0" applyFont="1" applyFill="1" applyBorder="1" applyAlignment="1">
      <alignment horizontal="right" vertical="center"/>
    </xf>
    <xf numFmtId="0" fontId="21" fillId="2" borderId="4" xfId="0" applyFont="1" applyFill="1" applyBorder="1" applyAlignment="1">
      <alignment horizontal="left" vertical="top" wrapText="1"/>
    </xf>
    <xf numFmtId="0" fontId="21" fillId="2" borderId="0" xfId="0" applyFont="1" applyFill="1" applyBorder="1" applyAlignment="1">
      <alignment horizontal="left" vertical="top" wrapText="1"/>
    </xf>
    <xf numFmtId="0" fontId="21" fillId="2" borderId="5" xfId="0" applyFont="1" applyFill="1" applyBorder="1" applyAlignment="1">
      <alignment horizontal="left" vertical="top" wrapText="1"/>
    </xf>
    <xf numFmtId="0" fontId="22" fillId="2" borderId="4" xfId="0" applyFont="1" applyFill="1" applyBorder="1" applyAlignment="1">
      <alignment horizontal="right" vertical="top"/>
    </xf>
    <xf numFmtId="0" fontId="22" fillId="2" borderId="0" xfId="0" applyFont="1" applyFill="1" applyBorder="1" applyAlignment="1">
      <alignment horizontal="right" vertical="top"/>
    </xf>
    <xf numFmtId="0" fontId="22" fillId="2" borderId="5" xfId="0" applyFont="1" applyFill="1" applyBorder="1" applyAlignment="1">
      <alignment horizontal="right" vertical="top"/>
    </xf>
    <xf numFmtId="0" fontId="23" fillId="3" borderId="40" xfId="0" applyFont="1" applyFill="1" applyBorder="1" applyAlignment="1">
      <alignment horizontal="center" vertical="center"/>
    </xf>
    <xf numFmtId="0" fontId="23" fillId="3" borderId="41" xfId="0" applyFont="1" applyFill="1" applyBorder="1" applyAlignment="1">
      <alignment horizontal="center" vertical="center"/>
    </xf>
    <xf numFmtId="0" fontId="23" fillId="3" borderId="42" xfId="0" applyFont="1" applyFill="1" applyBorder="1" applyAlignment="1">
      <alignment horizontal="center" vertical="center"/>
    </xf>
    <xf numFmtId="49" fontId="9" fillId="2" borderId="9" xfId="0" applyNumberFormat="1" applyFont="1" applyFill="1" applyBorder="1" applyAlignment="1" quotePrefix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590550</xdr:colOff>
      <xdr:row>0</xdr:row>
      <xdr:rowOff>228600</xdr:rowOff>
    </xdr:from>
    <xdr:to>
      <xdr:col>1</xdr:col>
      <xdr:colOff>1304925</xdr:colOff>
      <xdr:row>1</xdr:row>
      <xdr:rowOff>114300</xdr:rowOff>
    </xdr:to>
    <xdr:sp>
      <xdr:nvSpPr>
        <xdr:cNvPr id="3" name="Bevel 2"/>
        <xdr:cNvSpPr/>
      </xdr:nvSpPr>
      <xdr:spPr>
        <a:xfrm>
          <a:off x="590550" y="228600"/>
          <a:ext cx="2026920" cy="542925"/>
        </a:xfrm>
        <a:prstGeom prst="bevel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2000" b="1"/>
            <a:t>Tax</a:t>
          </a:r>
          <a:r>
            <a:rPr lang="en-US" sz="2000" b="1" baseline="0"/>
            <a:t> Invoice</a:t>
          </a:r>
          <a:endParaRPr lang="en-US" sz="2000" b="1"/>
        </a:p>
      </xdr:txBody>
    </xdr:sp>
    <xdr:clientData/>
  </xdr:twoCellAnchor>
  <xdr:twoCellAnchor editAs="oneCell">
    <xdr:from>
      <xdr:col>8</xdr:col>
      <xdr:colOff>95250</xdr:colOff>
      <xdr:row>0</xdr:row>
      <xdr:rowOff>114300</xdr:rowOff>
    </xdr:from>
    <xdr:to>
      <xdr:col>9</xdr:col>
      <xdr:colOff>628650</xdr:colOff>
      <xdr:row>1</xdr:row>
      <xdr:rowOff>600074</xdr:rowOff>
    </xdr:to>
    <xdr:pic>
      <xdr:nvPicPr>
        <xdr:cNvPr id="4" name="Picture 3" descr="blackbird-business-logo.jpg"/>
        <xdr:cNvPicPr>
          <a:picLocks noChangeAspect="1"/>
        </xdr:cNvPicPr>
      </xdr:nvPicPr>
      <xdr:blipFill>
        <a:blip r:embed="rId1" cstate="print"/>
        <a:srcRect l="21053" t="7895" r="17105"/>
        <a:stretch>
          <a:fillRect/>
        </a:stretch>
      </xdr:blipFill>
      <xdr:spPr>
        <a:xfrm>
          <a:off x="5168900" y="114300"/>
          <a:ext cx="1365885" cy="1142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0"/>
  <sheetViews>
    <sheetView showGridLines="0" tabSelected="1" topLeftCell="A18" workbookViewId="0">
      <selection activeCell="A38" sqref="A38:J38"/>
    </sheetView>
  </sheetViews>
  <sheetFormatPr defaultColWidth="9" defaultRowHeight="14.4"/>
  <cols>
    <col min="1" max="1" width="19.1388888888889" style="2" customWidth="1"/>
    <col min="2" max="2" width="21.5740740740741" style="2" customWidth="1"/>
    <col min="3" max="3" width="5" style="2" customWidth="1"/>
    <col min="4" max="4" width="7" style="2" customWidth="1"/>
    <col min="5" max="5" width="3.85185185185185" style="2" customWidth="1"/>
    <col min="6" max="6" width="7.71296296296296" style="2" customWidth="1"/>
    <col min="7" max="8" width="4.85185185185185" style="2" customWidth="1"/>
    <col min="9" max="9" width="12.1388888888889" style="2" customWidth="1"/>
    <col min="10" max="10" width="18" style="2" customWidth="1"/>
    <col min="11" max="16384" width="9.13888888888889" style="3"/>
  </cols>
  <sheetData>
    <row r="1" ht="51.75" customHeight="1" spans="1:12">
      <c r="A1" s="4"/>
      <c r="B1" s="5"/>
      <c r="C1" s="6"/>
      <c r="D1" s="5"/>
      <c r="E1" s="7"/>
      <c r="F1" s="7"/>
      <c r="G1" s="7"/>
      <c r="H1" s="8"/>
      <c r="I1" s="8"/>
      <c r="J1" s="9"/>
    </row>
    <row r="2" ht="51.75" customHeight="1" spans="1:12">
      <c r="A2" s="10" t="s">
        <v>0</v>
      </c>
      <c r="B2" s="11"/>
      <c r="C2" s="12"/>
      <c r="D2" s="11"/>
      <c r="E2" s="13"/>
      <c r="F2" s="13"/>
      <c r="G2" s="13"/>
      <c r="H2" s="14"/>
      <c r="I2" s="14"/>
      <c r="J2" s="15"/>
    </row>
    <row r="3" ht="16.5" customHeight="1" spans="1:12">
      <c r="A3" s="16" t="s">
        <v>1</v>
      </c>
      <c r="B3" s="17"/>
      <c r="C3" s="17"/>
      <c r="D3" s="17"/>
      <c r="E3" s="18"/>
      <c r="F3" s="18"/>
      <c r="G3" s="18"/>
      <c r="H3" s="17"/>
      <c r="I3" s="17"/>
      <c r="J3" s="19"/>
    </row>
    <row r="4" ht="16.5" customHeight="1" spans="1:12">
      <c r="A4" s="20"/>
      <c r="B4" s="21"/>
      <c r="C4" s="21"/>
      <c r="D4" s="21"/>
      <c r="E4" s="21"/>
      <c r="F4" s="21"/>
      <c r="G4" s="21"/>
      <c r="H4" s="21"/>
      <c r="I4" s="21"/>
      <c r="J4" s="22"/>
    </row>
    <row r="5" ht="15" spans="1:12">
      <c r="A5" s="23" t="s">
        <v>2</v>
      </c>
      <c r="B5" s="23" t="s">
        <v>3</v>
      </c>
      <c r="C5" s="23"/>
      <c r="D5" s="24" t="s">
        <v>4</v>
      </c>
      <c r="E5" s="25"/>
      <c r="F5" s="25"/>
      <c r="G5" s="25"/>
      <c r="H5" s="26"/>
      <c r="I5" s="27" t="s">
        <v>5</v>
      </c>
      <c r="J5" s="28"/>
    </row>
    <row r="6" spans="1:12">
      <c r="A6" s="23" t="s">
        <v>6</v>
      </c>
      <c r="B6" s="111" t="s">
        <v>7</v>
      </c>
      <c r="C6" s="29"/>
      <c r="D6" s="30"/>
      <c r="E6" s="31"/>
      <c r="F6" s="32"/>
      <c r="G6" s="30"/>
      <c r="H6" s="30"/>
      <c r="I6" s="33"/>
      <c r="J6" s="34"/>
    </row>
    <row r="7" ht="15" customHeight="1" spans="1:12">
      <c r="A7" s="23" t="s">
        <v>8</v>
      </c>
      <c r="B7" s="111" t="s">
        <v>9</v>
      </c>
      <c r="C7" s="29"/>
      <c r="D7" s="35" t="s">
        <v>10</v>
      </c>
      <c r="E7" s="32"/>
      <c r="F7" s="32"/>
      <c r="G7" s="30"/>
      <c r="H7" s="30"/>
      <c r="I7" s="36" t="s">
        <v>10</v>
      </c>
      <c r="J7" s="34"/>
    </row>
    <row r="8" ht="15" customHeight="1" spans="1:12">
      <c r="A8" s="37" t="s">
        <v>11</v>
      </c>
      <c r="B8" s="38">
        <v>2424</v>
      </c>
      <c r="C8" s="38"/>
      <c r="D8" s="39" t="s">
        <v>12</v>
      </c>
      <c r="E8" s="32"/>
      <c r="F8" s="32"/>
      <c r="G8" s="30"/>
      <c r="H8" s="30"/>
      <c r="I8" s="40" t="s">
        <v>12</v>
      </c>
      <c r="J8" s="34"/>
    </row>
    <row r="9" s="1" customFormat="1" ht="15" customHeight="1" spans="1:12">
      <c r="A9" s="41" t="s">
        <v>13</v>
      </c>
      <c r="B9" s="42" t="s">
        <v>14</v>
      </c>
      <c r="C9" s="42"/>
      <c r="D9" s="39" t="s">
        <v>15</v>
      </c>
      <c r="E9" s="32"/>
      <c r="F9" s="43"/>
      <c r="G9" s="44"/>
      <c r="H9" s="44"/>
      <c r="I9" s="40" t="s">
        <v>15</v>
      </c>
      <c r="J9" s="34"/>
      <c r="L9" s="45" t="s">
        <v>16</v>
      </c>
    </row>
    <row r="10" ht="15" customHeight="1" spans="1:12">
      <c r="A10" s="46" t="s">
        <v>17</v>
      </c>
      <c r="B10" s="46" t="s">
        <v>18</v>
      </c>
      <c r="C10" s="46"/>
      <c r="D10" s="47" t="s">
        <v>19</v>
      </c>
      <c r="E10" s="32"/>
      <c r="F10" s="32"/>
      <c r="G10" s="30"/>
      <c r="H10" s="30"/>
      <c r="I10" s="47" t="s">
        <v>19</v>
      </c>
      <c r="J10" s="34"/>
    </row>
    <row r="11" ht="15" customHeight="1" spans="1:12">
      <c r="A11" s="48" t="s">
        <v>20</v>
      </c>
      <c r="B11" s="49" t="s">
        <v>21</v>
      </c>
      <c r="C11" s="49"/>
      <c r="D11" s="50" t="s">
        <v>22</v>
      </c>
      <c r="E11" s="32"/>
      <c r="F11" s="32"/>
      <c r="G11" s="30"/>
      <c r="H11" s="30"/>
      <c r="I11" s="51" t="s">
        <v>22</v>
      </c>
      <c r="J11" s="34"/>
    </row>
    <row r="12" ht="15" customHeight="1" spans="1:12">
      <c r="A12" s="48" t="s">
        <v>23</v>
      </c>
      <c r="B12" s="48" t="s">
        <v>24</v>
      </c>
      <c r="C12" s="48"/>
      <c r="D12" s="52"/>
      <c r="E12" s="53"/>
      <c r="F12" s="53"/>
      <c r="G12" s="54"/>
      <c r="H12" s="54"/>
      <c r="I12" s="55"/>
      <c r="J12" s="56"/>
    </row>
    <row r="13" ht="24.75" customHeight="1" spans="1:12">
      <c r="A13" s="57"/>
      <c r="B13" s="11"/>
      <c r="C13" s="11"/>
      <c r="D13" s="11"/>
      <c r="E13" s="11"/>
      <c r="F13" s="11"/>
      <c r="G13" s="11"/>
      <c r="H13" s="13"/>
      <c r="I13" s="13"/>
      <c r="J13" s="58"/>
    </row>
    <row r="14" ht="25.5" customHeight="1" spans="1:12">
      <c r="A14" s="59" t="s">
        <v>25</v>
      </c>
      <c r="B14" s="60" t="s">
        <v>26</v>
      </c>
      <c r="C14" s="61"/>
      <c r="D14" s="61"/>
      <c r="E14" s="61"/>
      <c r="F14" s="62" t="s">
        <v>27</v>
      </c>
      <c r="G14" s="63"/>
      <c r="H14" s="64" t="s">
        <v>28</v>
      </c>
      <c r="I14" s="64" t="s">
        <v>29</v>
      </c>
      <c r="J14" s="65" t="s">
        <v>30</v>
      </c>
    </row>
    <row r="15" ht="22.5" customHeight="1" spans="1:12">
      <c r="A15" s="66">
        <v>1</v>
      </c>
      <c r="B15" s="67" t="s">
        <v>31</v>
      </c>
      <c r="C15" s="68"/>
      <c r="D15" s="68"/>
      <c r="E15" s="68"/>
      <c r="F15" s="69">
        <v>5566</v>
      </c>
      <c r="G15" s="70"/>
      <c r="H15" s="71">
        <v>10</v>
      </c>
      <c r="I15" s="72">
        <v>20</v>
      </c>
      <c r="J15" s="73">
        <f>ROUND(H15*I15,0)</f>
        <v>200</v>
      </c>
    </row>
    <row r="16" ht="22.5" customHeight="1" spans="1:12">
      <c r="A16" s="66">
        <v>2</v>
      </c>
      <c r="B16" s="67" t="s">
        <v>32</v>
      </c>
      <c r="C16" s="68"/>
      <c r="D16" s="68"/>
      <c r="E16" s="68"/>
      <c r="F16" s="69">
        <v>8899</v>
      </c>
      <c r="G16" s="70"/>
      <c r="H16" s="71">
        <v>25</v>
      </c>
      <c r="I16" s="72">
        <v>30</v>
      </c>
      <c r="J16" s="73">
        <f t="shared" ref="J16:J20" si="0">ROUND(H16*I16,0)</f>
        <v>750</v>
      </c>
    </row>
    <row r="17" ht="22.5" customHeight="1" spans="1:10">
      <c r="A17" s="66">
        <v>3</v>
      </c>
      <c r="B17" s="67" t="s">
        <v>33</v>
      </c>
      <c r="C17" s="68"/>
      <c r="D17" s="68"/>
      <c r="E17" s="68"/>
      <c r="F17" s="69">
        <v>1245</v>
      </c>
      <c r="G17" s="70"/>
      <c r="H17" s="71">
        <v>5</v>
      </c>
      <c r="I17" s="72">
        <v>50</v>
      </c>
      <c r="J17" s="73">
        <f t="shared" si="0"/>
        <v>250</v>
      </c>
    </row>
    <row r="18" ht="22.5" customHeight="1" spans="1:10">
      <c r="A18" s="66">
        <v>4</v>
      </c>
      <c r="B18" s="67" t="s">
        <v>31</v>
      </c>
      <c r="C18" s="74"/>
      <c r="D18" s="74"/>
      <c r="E18" s="74"/>
      <c r="F18" s="75">
        <v>2356</v>
      </c>
      <c r="G18" s="76"/>
      <c r="H18" s="77">
        <v>3</v>
      </c>
      <c r="I18" s="78">
        <v>60</v>
      </c>
      <c r="J18" s="73">
        <f t="shared" si="0"/>
        <v>180</v>
      </c>
    </row>
    <row r="19" ht="22.5" customHeight="1" spans="1:10">
      <c r="A19" s="66">
        <v>5</v>
      </c>
      <c r="B19" s="67" t="s">
        <v>32</v>
      </c>
      <c r="C19" s="74"/>
      <c r="D19" s="74"/>
      <c r="E19" s="74"/>
      <c r="F19" s="75">
        <v>4578</v>
      </c>
      <c r="G19" s="76"/>
      <c r="H19" s="77">
        <v>7</v>
      </c>
      <c r="I19" s="78">
        <v>70</v>
      </c>
      <c r="J19" s="73">
        <f>H19*I19</f>
        <v>490</v>
      </c>
    </row>
    <row r="20" ht="22.5" customHeight="1" spans="1:10">
      <c r="A20" s="66">
        <v>6</v>
      </c>
      <c r="B20" s="67" t="s">
        <v>33</v>
      </c>
      <c r="C20" s="74"/>
      <c r="D20" s="74"/>
      <c r="E20" s="74"/>
      <c r="F20" s="75">
        <v>5689</v>
      </c>
      <c r="G20" s="76"/>
      <c r="H20" s="77">
        <v>5</v>
      </c>
      <c r="I20" s="78">
        <v>50</v>
      </c>
      <c r="J20" s="73">
        <f>H20*I20</f>
        <v>250</v>
      </c>
    </row>
    <row r="21" ht="22.5" customHeight="1" spans="1:10">
      <c r="A21" s="79" t="s">
        <v>34</v>
      </c>
      <c r="B21" s="80"/>
      <c r="C21" s="80"/>
      <c r="D21" s="80"/>
      <c r="E21" s="80"/>
      <c r="F21" s="80"/>
      <c r="G21" s="80"/>
      <c r="H21" s="80"/>
      <c r="I21" s="81"/>
      <c r="J21" s="82">
        <v>650</v>
      </c>
    </row>
    <row r="22" ht="22.5" customHeight="1" spans="1:10">
      <c r="A22" s="83" t="s">
        <v>35</v>
      </c>
      <c r="B22" s="84"/>
      <c r="C22" s="84"/>
      <c r="D22" s="84"/>
      <c r="E22" s="84"/>
      <c r="F22" s="84"/>
      <c r="G22" s="84"/>
      <c r="H22" s="84"/>
      <c r="I22" s="85"/>
      <c r="J22" s="86">
        <f>SUM(J15:J21)</f>
        <v>2770</v>
      </c>
    </row>
    <row r="23" ht="22.5" customHeight="1" spans="1:10">
      <c r="A23" s="87" t="s">
        <v>36</v>
      </c>
      <c r="B23" s="88"/>
      <c r="C23" s="88"/>
      <c r="D23" s="88"/>
      <c r="E23" s="88"/>
      <c r="F23" s="88"/>
      <c r="G23" s="88"/>
      <c r="H23" s="88"/>
      <c r="I23" s="89"/>
      <c r="J23" s="90">
        <f>ROUND(J22*9%,0)</f>
        <v>249</v>
      </c>
    </row>
    <row r="24" ht="22.5" customHeight="1" spans="1:10">
      <c r="A24" s="87"/>
      <c r="B24" s="88"/>
      <c r="C24" s="88"/>
      <c r="D24" s="88"/>
      <c r="E24" s="88"/>
      <c r="F24" s="88"/>
      <c r="G24" s="88"/>
      <c r="H24" s="88"/>
      <c r="I24" s="89" t="s">
        <v>37</v>
      </c>
      <c r="J24" s="82">
        <f>ROUND(J22*9%,0)</f>
        <v>249</v>
      </c>
    </row>
    <row r="25" ht="22.5" customHeight="1" spans="1:10">
      <c r="A25" s="91" t="s">
        <v>38</v>
      </c>
      <c r="B25" s="92"/>
      <c r="C25" s="92"/>
      <c r="D25" s="92"/>
      <c r="E25" s="92"/>
      <c r="F25" s="92"/>
      <c r="G25" s="92"/>
      <c r="H25" s="92"/>
      <c r="I25" s="93"/>
      <c r="J25" s="94">
        <f>SUM(J22:J24)</f>
        <v>3268</v>
      </c>
    </row>
    <row r="26" ht="15" customHeight="1" spans="1:10">
      <c r="A26" s="95" t="s">
        <v>39</v>
      </c>
      <c r="B26" s="96"/>
      <c r="C26" s="96"/>
      <c r="D26" s="96"/>
      <c r="E26" s="96"/>
      <c r="F26" s="96"/>
      <c r="G26" s="97"/>
      <c r="H26" s="98"/>
      <c r="I26" s="97"/>
      <c r="J26" s="99"/>
    </row>
    <row r="27" ht="15" customHeight="1" spans="1:10">
      <c r="A27" s="57"/>
      <c r="B27" s="100"/>
      <c r="C27" s="100"/>
      <c r="D27" s="100"/>
      <c r="E27" s="100"/>
      <c r="F27" s="100"/>
      <c r="G27" s="11"/>
      <c r="H27" s="101"/>
      <c r="I27" s="11"/>
      <c r="J27" s="58"/>
    </row>
    <row r="28" ht="19.5" customHeight="1" spans="1:10">
      <c r="A28" s="102" t="s">
        <v>40</v>
      </c>
      <c r="B28" s="103"/>
      <c r="C28" s="103"/>
      <c r="D28" s="103"/>
      <c r="E28" s="103"/>
      <c r="F28" s="103"/>
      <c r="G28" s="103"/>
      <c r="H28" s="103"/>
      <c r="I28" s="103"/>
      <c r="J28" s="104"/>
    </row>
    <row r="29" ht="19.5" customHeight="1" spans="1:10">
      <c r="A29" s="102"/>
      <c r="B29" s="103"/>
      <c r="C29" s="103"/>
      <c r="D29" s="103"/>
      <c r="E29" s="103"/>
      <c r="F29" s="103"/>
      <c r="G29" s="103"/>
      <c r="H29" s="103"/>
      <c r="I29" s="103"/>
      <c r="J29" s="104"/>
    </row>
    <row r="30" ht="14.25" customHeight="1" spans="1:10">
      <c r="A30" s="102"/>
      <c r="B30" s="103"/>
      <c r="C30" s="103"/>
      <c r="D30" s="103"/>
      <c r="E30" s="103"/>
      <c r="F30" s="103"/>
      <c r="G30" s="103"/>
      <c r="H30" s="103"/>
      <c r="I30" s="103"/>
      <c r="J30" s="104"/>
    </row>
    <row r="31" spans="1:10">
      <c r="A31" s="102"/>
      <c r="B31" s="103"/>
      <c r="C31" s="103"/>
      <c r="D31" s="103"/>
      <c r="E31" s="103"/>
      <c r="F31" s="103"/>
      <c r="G31" s="103"/>
      <c r="H31" s="103"/>
      <c r="I31" s="103"/>
      <c r="J31" s="104"/>
    </row>
    <row r="32" spans="1:10">
      <c r="A32" s="102"/>
      <c r="B32" s="103"/>
      <c r="C32" s="103"/>
      <c r="D32" s="103"/>
      <c r="E32" s="103"/>
      <c r="F32" s="103"/>
      <c r="G32" s="103"/>
      <c r="H32" s="103"/>
      <c r="I32" s="103"/>
      <c r="J32" s="104"/>
    </row>
    <row r="33" spans="1:10">
      <c r="A33" s="102"/>
      <c r="B33" s="103"/>
      <c r="C33" s="103"/>
      <c r="D33" s="103"/>
      <c r="E33" s="103"/>
      <c r="F33" s="103"/>
      <c r="G33" s="103"/>
      <c r="H33" s="103"/>
      <c r="I33" s="103"/>
      <c r="J33" s="104"/>
    </row>
    <row r="34" spans="1:10">
      <c r="A34" s="102"/>
      <c r="B34" s="103"/>
      <c r="C34" s="103"/>
      <c r="D34" s="103"/>
      <c r="E34" s="103"/>
      <c r="F34" s="103"/>
      <c r="G34" s="103"/>
      <c r="H34" s="103"/>
      <c r="I34" s="103"/>
      <c r="J34" s="104"/>
    </row>
    <row r="35" spans="1:10">
      <c r="A35" s="102"/>
      <c r="B35" s="103"/>
      <c r="C35" s="103"/>
      <c r="D35" s="103"/>
      <c r="E35" s="103"/>
      <c r="F35" s="103"/>
      <c r="G35" s="103"/>
      <c r="H35" s="103"/>
      <c r="I35" s="103"/>
      <c r="J35" s="104"/>
    </row>
    <row r="36" spans="1:10">
      <c r="A36" s="102"/>
      <c r="B36" s="103"/>
      <c r="C36" s="103"/>
      <c r="D36" s="103"/>
      <c r="E36" s="103"/>
      <c r="F36" s="103"/>
      <c r="G36" s="103"/>
      <c r="H36" s="103"/>
      <c r="I36" s="103"/>
      <c r="J36" s="104"/>
    </row>
    <row r="37" spans="1:10">
      <c r="A37" s="102"/>
      <c r="B37" s="103"/>
      <c r="C37" s="103"/>
      <c r="D37" s="103"/>
      <c r="E37" s="103"/>
      <c r="F37" s="103"/>
      <c r="G37" s="103"/>
      <c r="H37" s="103"/>
      <c r="I37" s="103"/>
      <c r="J37" s="104"/>
    </row>
    <row r="38" spans="1:10">
      <c r="A38" s="105" t="s">
        <v>41</v>
      </c>
      <c r="B38" s="106"/>
      <c r="C38" s="106"/>
      <c r="D38" s="106"/>
      <c r="E38" s="106"/>
      <c r="F38" s="106"/>
      <c r="G38" s="106"/>
      <c r="H38" s="106"/>
      <c r="I38" s="106"/>
      <c r="J38" s="107"/>
    </row>
    <row r="39" spans="1:10">
      <c r="A39" s="105"/>
      <c r="B39" s="106"/>
      <c r="C39" s="106"/>
      <c r="D39" s="106"/>
      <c r="E39" s="106"/>
      <c r="F39" s="106"/>
      <c r="G39" s="106"/>
      <c r="H39" s="106"/>
      <c r="I39" s="106"/>
      <c r="J39" s="107"/>
    </row>
    <row r="40" ht="15.15" spans="1:10">
      <c r="A40" s="108" t="s">
        <v>42</v>
      </c>
      <c r="B40" s="109"/>
      <c r="C40" s="109"/>
      <c r="D40" s="109"/>
      <c r="E40" s="109"/>
      <c r="F40" s="109"/>
      <c r="G40" s="109"/>
      <c r="H40" s="109"/>
      <c r="I40" s="109"/>
      <c r="J40" s="110"/>
    </row>
  </sheetData>
  <mergeCells count="18">
    <mergeCell ref="B5:C5"/>
    <mergeCell ref="B6:C6"/>
    <mergeCell ref="B7:C7"/>
    <mergeCell ref="B11:C11"/>
    <mergeCell ref="F14:G14"/>
    <mergeCell ref="F15:G15"/>
    <mergeCell ref="F16:G16"/>
    <mergeCell ref="F17:G17"/>
    <mergeCell ref="F18:G18"/>
    <mergeCell ref="F19:G19"/>
    <mergeCell ref="F20:G20"/>
    <mergeCell ref="A21:I21"/>
    <mergeCell ref="A22:I22"/>
    <mergeCell ref="A23:I23"/>
    <mergeCell ref="A25:I25"/>
    <mergeCell ref="A38:J38"/>
    <mergeCell ref="A40:J40"/>
    <mergeCell ref="A28:J37"/>
  </mergeCells>
  <pageMargins left="0.19" right="0.24" top="0.31" bottom="0.26" header="0.3" footer="0.3"/>
  <pageSetup paperSize="9" scale="96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admin</cp:lastModifiedBy>
  <dcterms:created xsi:type="dcterms:W3CDTF">2017-08-09T05:40:00Z</dcterms:created>
  <cp:lastPrinted>2018-01-24T13:04:00Z</cp:lastPrinted>
  <dcterms:modified xsi:type="dcterms:W3CDTF">2026-05-22T05:39:39Z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16F4F3FB13D24B59A4C0976F9301F322_13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