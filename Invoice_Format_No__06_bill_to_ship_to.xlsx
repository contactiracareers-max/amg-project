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<sst xmlns="http://schemas.openxmlformats.org/spreadsheetml/2006/main" count="53" uniqueCount="48">
  <si>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TAX INVOICE</t>
  </si>
  <si>
    <t>INVOICE NO.</t>
  </si>
  <si>
    <t>DATE</t>
  </si>
  <si>
    <t>ABC/ 2026-27 / 001</t>
  </si>
  <si>
    <t>Company Name</t>
  </si>
  <si>
    <t>CUSTOMER ID</t>
  </si>
  <si>
    <t>TERMS</t>
  </si>
  <si>
    <t>Full Address</t>
  </si>
  <si>
    <t>D886</t>
  </si>
  <si>
    <t>Net 30 Days</t>
  </si>
  <si>
    <t xml:space="preserve"> </t>
  </si>
  <si>
    <t>GSTIN : 24ABCDE1234H1ZK</t>
  </si>
  <si>
    <t>BILLING ADDRESS</t>
  </si>
  <si>
    <t>SHIPPING ADDRESS</t>
  </si>
  <si>
    <t>A-ONE ENTERPRISE</t>
  </si>
  <si>
    <t xml:space="preserve">D-1234, Okhla Industrial Area, </t>
  </si>
  <si>
    <t>New Delhi-110020</t>
  </si>
  <si>
    <t>Phone : 013552124512</t>
  </si>
  <si>
    <t>GSTIN : 087614164111212</t>
  </si>
  <si>
    <t>DESCRIPTION</t>
  </si>
  <si>
    <t>HSN Code</t>
  </si>
  <si>
    <t>QTY</t>
  </si>
  <si>
    <t>UNIT PRICE</t>
  </si>
  <si>
    <t>AMOUNT</t>
  </si>
  <si>
    <t>ITEM NO. 1</t>
  </si>
  <si>
    <t>ITEM NO. 2</t>
  </si>
  <si>
    <t>ITEM NO. 3</t>
  </si>
  <si>
    <t>ITEM NO. 4</t>
  </si>
  <si>
    <t>ITEM NO. 5</t>
  </si>
  <si>
    <t>ITEM NO. 6</t>
  </si>
  <si>
    <t>ITEM NO. 7</t>
  </si>
  <si>
    <t>ITEM NO. 8</t>
  </si>
  <si>
    <t>ITEM NO. 9</t>
  </si>
  <si>
    <t>ITEM NO. 10</t>
  </si>
  <si>
    <t>ITEM NO. 11</t>
  </si>
  <si>
    <t>ITEM NO. 12</t>
  </si>
  <si>
    <t>THANK YOU FOR YOUR BUSINESS!
E.&amp;.O.E.</t>
  </si>
  <si>
    <t>Total</t>
  </si>
  <si>
    <t>Freight Charges</t>
  </si>
  <si>
    <t>Grand Total</t>
  </si>
  <si>
    <t>SGST @ 9 %</t>
  </si>
  <si>
    <t>CGST @ 9 %</t>
  </si>
  <si>
    <t>Grand Total (Including Tax)</t>
  </si>
  <si>
    <t>Amount in Words :</t>
  </si>
  <si>
    <t>Fourty Thousand Two Hundrend Fifty six rupees only Only/-</t>
  </si>
  <si>
    <t>for Adventure Ranz Pvt. Ltd.</t>
  </si>
  <si>
    <t>Please Make the Cheque in Favour of "A TO Z Pvt. Ltd."</t>
  </si>
  <si>
    <t xml:space="preserve">Authorized Signatory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</si>
</sst>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mm/dd/yy;@"/>
    <numFmt numFmtId="178" formatCode="_(* #,##0_);_(* \(#,##0\);_(* &quot;-&quot;??_);_(@_)"/>
  </numFmts>
  <fonts count="34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sz val="22"/>
      <color theme="3"/>
      <name val="Arial Bold"/>
      <charset val="134"/>
    </font>
    <font>
      <sz val="11"/>
      <color theme="3" tint="-0.249977111117893"/>
      <name val="Arial"/>
      <charset val="134"/>
    </font>
    <font>
      <sz val="11"/>
      <color theme="0"/>
      <name val="Arial Bold"/>
      <charset val="134"/>
    </font>
    <font>
      <sz val="10"/>
      <color theme="1"/>
      <name val="Arial"/>
      <charset val="134"/>
    </font>
    <font>
      <b/>
      <sz val="11"/>
      <color theme="3" tint="-0.249977111117893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b/>
      <i/>
      <sz val="9"/>
      <color theme="1"/>
      <name val="Arial"/>
      <charset val="134"/>
    </font>
    <font>
      <b/>
      <sz val="11"/>
      <color theme="0"/>
      <name val="Calibri"/>
      <charset val="134"/>
      <scheme val="minor"/>
    </font>
    <font>
      <b/>
      <u/>
      <sz val="10"/>
      <name val="Tahoma"/>
      <charset val="134"/>
    </font>
    <font>
      <sz val="10"/>
      <name val="Tahoma"/>
      <charset val="134"/>
    </font>
    <font>
      <sz val="10"/>
      <name val="Arial"/>
      <charset val="134"/>
    </font>
    <font>
      <b/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9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3" tint="0.399945066682943"/>
      </right>
      <top style="medium">
        <color auto="1"/>
      </top>
      <bottom style="medium">
        <color auto="1"/>
      </bottom>
      <diagonal/>
    </border>
    <border>
      <left style="thin">
        <color theme="3" tint="0.399945066682943"/>
      </left>
      <right style="thin">
        <color theme="3" tint="0.399945066682943"/>
      </right>
      <top style="medium">
        <color auto="1"/>
      </top>
      <bottom style="medium">
        <color auto="1"/>
      </bottom>
      <diagonal/>
    </border>
    <border>
      <left style="thin">
        <color theme="3" tint="0.39994506668294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3" tint="0.399945066682943"/>
      </right>
      <top/>
      <bottom style="thin">
        <color theme="3" tint="0.399945066682943"/>
      </bottom>
      <diagonal/>
    </border>
    <border>
      <left style="thin">
        <color theme="3" tint="0.399945066682943"/>
      </left>
      <right style="thin">
        <color theme="3" tint="0.399945066682943"/>
      </right>
      <top/>
      <bottom style="thin">
        <color theme="3" tint="0.399945066682943"/>
      </bottom>
      <diagonal/>
    </border>
    <border>
      <left style="thin">
        <color theme="3" tint="0.399945066682943"/>
      </left>
      <right style="medium">
        <color auto="1"/>
      </right>
      <top/>
      <bottom style="thin">
        <color theme="3" tint="0.399945066682943"/>
      </bottom>
      <diagonal/>
    </border>
    <border>
      <left style="medium">
        <color auto="1"/>
      </left>
      <right style="thin">
        <color theme="3" tint="0.399945066682943"/>
      </right>
      <top style="thin">
        <color theme="3" tint="0.399945066682943"/>
      </top>
      <bottom style="thin">
        <color theme="3" tint="0.399945066682943"/>
      </bottom>
      <diagonal/>
    </border>
    <border>
      <left style="thin">
        <color theme="3" tint="0.399945066682943"/>
      </left>
      <right style="thin">
        <color theme="3" tint="0.399945066682943"/>
      </right>
      <top style="thin">
        <color theme="3" tint="0.399945066682943"/>
      </top>
      <bottom style="thin">
        <color theme="3" tint="0.399945066682943"/>
      </bottom>
      <diagonal/>
    </border>
    <border>
      <left style="thin">
        <color theme="3" tint="0.399945066682943"/>
      </left>
      <right style="medium">
        <color auto="1"/>
      </right>
      <top style="thin">
        <color theme="3" tint="0.399945066682943"/>
      </top>
      <bottom style="thin">
        <color theme="3" tint="0.399945066682943"/>
      </bottom>
      <diagonal/>
    </border>
    <border>
      <left style="medium">
        <color auto="1"/>
      </left>
      <right style="thin">
        <color theme="3" tint="0.399945066682943"/>
      </right>
      <top style="thin">
        <color theme="3" tint="0.399945066682943"/>
      </top>
      <bottom style="medium">
        <color auto="1"/>
      </bottom>
      <diagonal/>
    </border>
    <border>
      <left style="thin">
        <color theme="3" tint="0.399945066682943"/>
      </left>
      <right style="thin">
        <color theme="3" tint="0.399945066682943"/>
      </right>
      <top style="thin">
        <color theme="3" tint="0.399945066682943"/>
      </top>
      <bottom style="medium">
        <color auto="1"/>
      </bottom>
      <diagonal/>
    </border>
    <border>
      <left style="thin">
        <color theme="3" tint="0.399945066682943"/>
      </left>
      <right style="medium">
        <color auto="1"/>
      </right>
      <top style="thin">
        <color theme="3" tint="0.399945066682943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2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30" applyNumberFormat="0" applyAlignment="0" applyProtection="0">
      <alignment vertical="center"/>
    </xf>
    <xf numFmtId="0" fontId="24" fillId="8" borderId="31" applyNumberFormat="0" applyAlignment="0" applyProtection="0">
      <alignment vertical="center"/>
    </xf>
    <xf numFmtId="0" fontId="25" fillId="8" borderId="30" applyNumberFormat="0" applyAlignment="0" applyProtection="0">
      <alignment vertical="center"/>
    </xf>
    <xf numFmtId="0" fontId="26" fillId="9" borderId="32" applyNumberFormat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0" borderId="34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left" inden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inden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4" fillId="2" borderId="9" xfId="0" applyFont="1" applyFill="1" applyBorder="1" applyAlignment="1">
      <alignment horizontal="left" vertical="center" indent="1"/>
    </xf>
    <xf numFmtId="0" fontId="4" fillId="2" borderId="10" xfId="0" applyFont="1" applyFill="1" applyBorder="1" applyAlignment="1">
      <alignment horizontal="left" vertical="center" indent="1"/>
    </xf>
    <xf numFmtId="0" fontId="4" fillId="2" borderId="11" xfId="0" applyFont="1" applyFill="1" applyBorder="1" applyAlignment="1">
      <alignment horizontal="left" vertical="center" indent="1"/>
    </xf>
    <xf numFmtId="0" fontId="4" fillId="2" borderId="12" xfId="0" applyFont="1" applyFill="1" applyBorder="1" applyAlignment="1">
      <alignment horizontal="left" vertical="center" indent="1"/>
    </xf>
    <xf numFmtId="0" fontId="7" fillId="3" borderId="13" xfId="0" applyFont="1" applyFill="1" applyBorder="1" applyProtection="1">
      <protection locked="0"/>
    </xf>
    <xf numFmtId="0" fontId="5" fillId="0" borderId="0" xfId="0" applyFont="1"/>
    <xf numFmtId="0" fontId="7" fillId="3" borderId="2" xfId="0" applyFont="1" applyFill="1" applyBorder="1" applyProtection="1">
      <protection locked="0"/>
    </xf>
    <xf numFmtId="0" fontId="7" fillId="3" borderId="3" xfId="0" applyFont="1" applyFill="1" applyBorder="1" applyProtection="1">
      <protection locked="0"/>
    </xf>
    <xf numFmtId="0" fontId="8" fillId="3" borderId="13" xfId="0" applyFont="1" applyFill="1" applyBorder="1" applyProtection="1">
      <protection locked="0"/>
    </xf>
    <xf numFmtId="0" fontId="8" fillId="3" borderId="4" xfId="0" applyFont="1" applyFill="1" applyBorder="1" applyProtection="1">
      <protection locked="0"/>
    </xf>
    <xf numFmtId="0" fontId="8" fillId="3" borderId="0" xfId="0" applyFont="1" applyFill="1" applyBorder="1" applyProtection="1">
      <protection locked="0"/>
    </xf>
    <xf numFmtId="0" fontId="8" fillId="3" borderId="5" xfId="0" applyFont="1" applyFill="1" applyBorder="1" applyProtection="1">
      <protection locked="0"/>
    </xf>
    <xf numFmtId="0" fontId="8" fillId="4" borderId="13" xfId="0" applyFont="1" applyFill="1" applyBorder="1" applyProtection="1">
      <protection locked="0"/>
    </xf>
    <xf numFmtId="0" fontId="8" fillId="4" borderId="4" xfId="0" applyFont="1" applyFill="1" applyBorder="1" applyProtection="1">
      <protection locked="0"/>
    </xf>
    <xf numFmtId="0" fontId="8" fillId="4" borderId="0" xfId="0" applyFont="1" applyFill="1" applyBorder="1" applyProtection="1">
      <protection locked="0"/>
    </xf>
    <xf numFmtId="0" fontId="8" fillId="4" borderId="5" xfId="0" applyFont="1" applyFill="1" applyBorder="1" applyProtection="1">
      <protection locked="0"/>
    </xf>
    <xf numFmtId="0" fontId="7" fillId="4" borderId="14" xfId="0" applyFont="1" applyFill="1" applyBorder="1" applyProtection="1"/>
    <xf numFmtId="0" fontId="7" fillId="4" borderId="6" xfId="0" applyFont="1" applyFill="1" applyBorder="1" applyProtection="1"/>
    <xf numFmtId="0" fontId="7" fillId="4" borderId="7" xfId="0" applyFont="1" applyFill="1" applyBorder="1" applyProtection="1"/>
    <xf numFmtId="0" fontId="7" fillId="4" borderId="8" xfId="0" applyFont="1" applyFill="1" applyBorder="1" applyProtection="1"/>
    <xf numFmtId="0" fontId="5" fillId="0" borderId="4" xfId="0" applyFont="1" applyBorder="1" applyAlignment="1">
      <alignment horizontal="left" inden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4" fillId="2" borderId="1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0" borderId="18" xfId="0" applyFont="1" applyBorder="1" applyAlignment="1"/>
    <xf numFmtId="0" fontId="5" fillId="0" borderId="19" xfId="0" applyFont="1" applyBorder="1" applyAlignment="1"/>
    <xf numFmtId="0" fontId="5" fillId="0" borderId="19" xfId="0" applyFont="1" applyBorder="1" applyAlignment="1">
      <alignment horizontal="center"/>
    </xf>
    <xf numFmtId="2" fontId="5" fillId="0" borderId="19" xfId="0" applyNumberFormat="1" applyFont="1" applyBorder="1" applyAlignment="1">
      <alignment horizontal="right"/>
    </xf>
    <xf numFmtId="2" fontId="5" fillId="0" borderId="20" xfId="0" applyNumberFormat="1" applyFont="1" applyBorder="1" applyAlignment="1">
      <alignment horizontal="right"/>
    </xf>
    <xf numFmtId="0" fontId="5" fillId="0" borderId="21" xfId="0" applyFont="1" applyBorder="1" applyAlignment="1"/>
    <xf numFmtId="0" fontId="5" fillId="0" borderId="22" xfId="0" applyFont="1" applyBorder="1" applyAlignment="1"/>
    <xf numFmtId="0" fontId="5" fillId="0" borderId="22" xfId="0" applyFont="1" applyBorder="1" applyAlignment="1">
      <alignment horizontal="center"/>
    </xf>
    <xf numFmtId="2" fontId="5" fillId="0" borderId="22" xfId="0" applyNumberFormat="1" applyFont="1" applyBorder="1" applyAlignment="1">
      <alignment horizontal="right"/>
    </xf>
    <xf numFmtId="2" fontId="5" fillId="0" borderId="23" xfId="0" applyNumberFormat="1" applyFont="1" applyBorder="1" applyAlignment="1">
      <alignment horizontal="right"/>
    </xf>
    <xf numFmtId="0" fontId="5" fillId="0" borderId="21" xfId="0" applyFont="1" applyFill="1" applyBorder="1" applyAlignment="1"/>
    <xf numFmtId="2" fontId="5" fillId="0" borderId="23" xfId="0" applyNumberFormat="1" applyFont="1" applyFill="1" applyBorder="1" applyAlignment="1">
      <alignment horizontal="right"/>
    </xf>
    <xf numFmtId="0" fontId="5" fillId="0" borderId="24" xfId="0" applyFont="1" applyBorder="1" applyAlignment="1"/>
    <xf numFmtId="0" fontId="5" fillId="0" borderId="25" xfId="0" applyFont="1" applyBorder="1" applyAlignment="1"/>
    <xf numFmtId="0" fontId="5" fillId="0" borderId="25" xfId="0" applyFont="1" applyBorder="1" applyAlignment="1">
      <alignment horizontal="center"/>
    </xf>
    <xf numFmtId="2" fontId="5" fillId="0" borderId="25" xfId="0" applyNumberFormat="1" applyFont="1" applyBorder="1" applyAlignment="1">
      <alignment horizontal="right"/>
    </xf>
    <xf numFmtId="2" fontId="5" fillId="0" borderId="26" xfId="0" applyNumberFormat="1" applyFont="1" applyBorder="1" applyAlignment="1">
      <alignment horizontal="right"/>
    </xf>
    <xf numFmtId="0" fontId="9" fillId="0" borderId="1" xfId="0" applyFont="1" applyBorder="1" applyAlignment="1">
      <alignment horizontal="left" wrapText="1"/>
    </xf>
    <xf numFmtId="0" fontId="9" fillId="0" borderId="3" xfId="0" applyFont="1" applyBorder="1" applyAlignment="1">
      <alignment horizontal="left"/>
    </xf>
    <xf numFmtId="0" fontId="10" fillId="5" borderId="1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178" fontId="10" fillId="5" borderId="3" xfId="1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0" fillId="0" borderId="4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178" fontId="0" fillId="0" borderId="5" xfId="1" applyNumberFormat="1" applyFont="1" applyBorder="1" applyAlignment="1">
      <alignment horizontal="right" vertical="center"/>
    </xf>
    <xf numFmtId="0" fontId="10" fillId="5" borderId="4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178" fontId="10" fillId="5" borderId="5" xfId="1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78" fontId="0" fillId="0" borderId="5" xfId="1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10" fillId="5" borderId="6" xfId="0" applyFont="1" applyFill="1" applyBorder="1" applyAlignment="1">
      <alignment horizontal="left" vertical="center"/>
    </xf>
    <xf numFmtId="0" fontId="10" fillId="5" borderId="7" xfId="0" applyFont="1" applyFill="1" applyBorder="1" applyAlignment="1">
      <alignment horizontal="left" vertical="center"/>
    </xf>
    <xf numFmtId="178" fontId="10" fillId="5" borderId="8" xfId="1" applyNumberFormat="1" applyFont="1" applyFill="1" applyBorder="1" applyAlignment="1">
      <alignment horizontal="center" vertical="center"/>
    </xf>
    <xf numFmtId="58" fontId="11" fillId="0" borderId="1" xfId="1" applyNumberFormat="1" applyFont="1" applyBorder="1" applyAlignment="1" applyProtection="1">
      <alignment horizontal="left"/>
      <protection hidden="1"/>
    </xf>
    <xf numFmtId="0" fontId="8" fillId="4" borderId="2" xfId="0" applyFont="1" applyFill="1" applyBorder="1" applyAlignment="1" applyProtection="1">
      <alignment horizontal="centerContinuous"/>
    </xf>
    <xf numFmtId="0" fontId="8" fillId="4" borderId="3" xfId="0" applyFont="1" applyFill="1" applyBorder="1" applyAlignment="1" applyProtection="1">
      <alignment horizontal="centerContinuous"/>
    </xf>
    <xf numFmtId="58" fontId="12" fillId="0" borderId="4" xfId="1" applyNumberFormat="1" applyFont="1" applyBorder="1" applyAlignment="1" applyProtection="1">
      <alignment horizontal="left"/>
      <protection hidden="1"/>
    </xf>
    <xf numFmtId="0" fontId="13" fillId="0" borderId="0" xfId="0" applyFont="1" applyBorder="1" applyProtection="1"/>
    <xf numFmtId="0" fontId="14" fillId="0" borderId="5" xfId="0" applyFont="1" applyBorder="1" applyAlignment="1" applyProtection="1">
      <alignment horizontal="right"/>
    </xf>
    <xf numFmtId="0" fontId="13" fillId="0" borderId="4" xfId="0" applyFont="1" applyBorder="1" applyProtection="1"/>
    <xf numFmtId="0" fontId="7" fillId="4" borderId="4" xfId="0" applyFont="1" applyFill="1" applyBorder="1" applyProtection="1"/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180975</xdr:colOff>
      <xdr:row>0</xdr:row>
      <xdr:rowOff>114300</xdr:rowOff>
    </xdr:from>
    <xdr:to>
      <xdr:col>0</xdr:col>
      <xdr:colOff>2057400</xdr:colOff>
      <xdr:row>2</xdr:row>
      <xdr:rowOff>76835</xdr:rowOff>
    </xdr:to>
    <xdr:pic>
      <xdr:nvPicPr>
        <xdr:cNvPr id="3" name="Picture 2" descr="download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" y="114300"/>
          <a:ext cx="1876425" cy="1105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showGridLines="0" tabSelected="1" topLeftCell="A7" workbookViewId="0">
      <selection activeCell="H6" sqref="H6"/>
    </sheetView>
  </sheetViews>
  <sheetFormatPr defaultColWidth="12.5740740740741" defaultRowHeight="14.4" outlineLevelCol="4"/>
  <cols>
    <col min="1" max="1" width="42.712962962963" customWidth="1"/>
    <col min="2" max="2" width="11.5740740740741" customWidth="1"/>
    <col min="3" max="3" width="11.4259259259259" customWidth="1"/>
    <col min="4" max="5" width="16" customWidth="1"/>
    <col min="6" max="6" width="2.28703703703704" customWidth="1"/>
  </cols>
  <sheetData>
    <row r="1" ht="72" customHeight="1" spans="1:5">
      <c r="A1" s="1"/>
      <c r="B1" s="2"/>
      <c r="C1" s="2"/>
      <c r="D1" s="3" t="s">
        <v>0</v>
      </c>
      <c r="E1" s="4"/>
    </row>
    <row r="2" ht="18" customHeight="1" spans="1:5">
      <c r="A2" s="5"/>
      <c r="B2" s="6"/>
      <c r="C2" s="7" t="s">
        <v>1</v>
      </c>
      <c r="D2" s="8"/>
      <c r="E2" s="9" t="s">
        <v>2</v>
      </c>
    </row>
    <row r="3" ht="18" customHeight="1" spans="1:5">
      <c r="A3" s="5"/>
      <c r="B3" s="6"/>
      <c r="C3" s="10" t="s">
        <v>3</v>
      </c>
      <c r="D3" s="11"/>
      <c r="E3" s="12">
        <v>46116</v>
      </c>
    </row>
    <row r="4" ht="18" customHeight="1" spans="1:5">
      <c r="A4" s="13" t="s">
        <v>4</v>
      </c>
      <c r="B4" s="6"/>
      <c r="C4" s="14" t="s">
        <v>5</v>
      </c>
      <c r="D4" s="15"/>
      <c r="E4" s="16" t="s">
        <v>6</v>
      </c>
    </row>
    <row r="5" ht="18" customHeight="1" spans="1:5">
      <c r="A5" s="13" t="s">
        <v>7</v>
      </c>
      <c r="B5" s="6"/>
      <c r="C5" s="17" t="s">
        <v>8</v>
      </c>
      <c r="D5" s="18"/>
      <c r="E5" s="19" t="s">
        <v>9</v>
      </c>
    </row>
    <row r="6" ht="18" customHeight="1" spans="1:5">
      <c r="A6" s="13" t="s">
        <v>10</v>
      </c>
      <c r="B6" s="6"/>
      <c r="C6" s="20"/>
      <c r="D6" s="20"/>
      <c r="E6" s="21"/>
    </row>
    <row r="7" ht="18" customHeight="1" spans="1:5">
      <c r="A7" s="13" t="s">
        <v>11</v>
      </c>
      <c r="B7" s="6"/>
      <c r="C7" s="20"/>
      <c r="D7" s="20"/>
      <c r="E7" s="21"/>
    </row>
    <row r="8" ht="9.95" customHeight="1" spans="1:5">
      <c r="A8" s="22"/>
      <c r="B8" s="6"/>
      <c r="C8" s="6"/>
      <c r="D8" s="6"/>
      <c r="E8" s="23"/>
    </row>
    <row r="9" ht="15.75" spans="1:5">
      <c r="A9" s="24" t="s">
        <v>12</v>
      </c>
      <c r="B9" s="6"/>
      <c r="C9" s="25" t="s">
        <v>13</v>
      </c>
      <c r="D9" s="26"/>
      <c r="E9" s="27"/>
    </row>
    <row r="10" ht="15.95" customHeight="1" spans="1:5">
      <c r="A10" s="28" t="s">
        <v>14</v>
      </c>
      <c r="B10" s="29"/>
      <c r="C10" s="28" t="s">
        <v>14</v>
      </c>
      <c r="D10" s="30"/>
      <c r="E10" s="31"/>
    </row>
    <row r="11" ht="15.95" customHeight="1" spans="1:5">
      <c r="A11" s="32" t="s">
        <v>15</v>
      </c>
      <c r="B11" s="29"/>
      <c r="C11" s="33" t="s">
        <v>15</v>
      </c>
      <c r="D11" s="34"/>
      <c r="E11" s="35"/>
    </row>
    <row r="12" ht="15.95" customHeight="1" spans="1:5">
      <c r="A12" s="32" t="s">
        <v>16</v>
      </c>
      <c r="B12" s="29"/>
      <c r="C12" s="33" t="s">
        <v>16</v>
      </c>
      <c r="D12" s="34"/>
      <c r="E12" s="35"/>
    </row>
    <row r="13" ht="15.95" customHeight="1" spans="1:5">
      <c r="A13" s="36" t="s">
        <v>17</v>
      </c>
      <c r="B13" s="29"/>
      <c r="C13" s="37" t="s">
        <v>17</v>
      </c>
      <c r="D13" s="38"/>
      <c r="E13" s="39"/>
    </row>
    <row r="14" ht="15.95" customHeight="1" spans="1:5">
      <c r="A14" s="40" t="s">
        <v>18</v>
      </c>
      <c r="B14" s="29"/>
      <c r="C14" s="41" t="s">
        <v>18</v>
      </c>
      <c r="D14" s="42"/>
      <c r="E14" s="43"/>
    </row>
    <row r="15" ht="15.95" customHeight="1" spans="1:5">
      <c r="A15" s="44"/>
      <c r="B15" s="29"/>
      <c r="C15" s="45"/>
      <c r="D15" s="45"/>
      <c r="E15" s="46"/>
    </row>
    <row r="16" ht="9.95" customHeight="1" spans="1:5">
      <c r="A16" s="22"/>
      <c r="B16" s="6"/>
      <c r="C16" s="6"/>
      <c r="D16" s="6"/>
      <c r="E16" s="23"/>
    </row>
    <row r="17" ht="18" customHeight="1" spans="1:5">
      <c r="A17" s="47" t="s">
        <v>19</v>
      </c>
      <c r="B17" s="48" t="s">
        <v>20</v>
      </c>
      <c r="C17" s="49" t="s">
        <v>21</v>
      </c>
      <c r="D17" s="49" t="s">
        <v>22</v>
      </c>
      <c r="E17" s="50" t="s">
        <v>23</v>
      </c>
    </row>
    <row r="18" spans="1:5">
      <c r="A18" s="51" t="s">
        <v>24</v>
      </c>
      <c r="B18" s="52">
        <v>4545</v>
      </c>
      <c r="C18" s="53">
        <v>4</v>
      </c>
      <c r="D18" s="54">
        <v>200</v>
      </c>
      <c r="E18" s="55">
        <f>C18*D18</f>
        <v>800</v>
      </c>
    </row>
    <row r="19" spans="1:5">
      <c r="A19" s="56" t="s">
        <v>25</v>
      </c>
      <c r="B19" s="57">
        <v>5656</v>
      </c>
      <c r="C19" s="58">
        <v>5</v>
      </c>
      <c r="D19" s="59">
        <v>600</v>
      </c>
      <c r="E19" s="60">
        <f t="shared" ref="E19:E29" si="0">C19*D19</f>
        <v>3000</v>
      </c>
    </row>
    <row r="20" spans="1:5">
      <c r="A20" s="56" t="s">
        <v>26</v>
      </c>
      <c r="B20" s="57">
        <v>2233</v>
      </c>
      <c r="C20" s="58">
        <v>9</v>
      </c>
      <c r="D20" s="59">
        <v>300</v>
      </c>
      <c r="E20" s="60">
        <f t="shared" si="0"/>
        <v>2700</v>
      </c>
    </row>
    <row r="21" ht="15.95" customHeight="1" spans="1:5">
      <c r="A21" s="56" t="s">
        <v>27</v>
      </c>
      <c r="B21" s="57">
        <v>7878</v>
      </c>
      <c r="C21" s="58">
        <v>5</v>
      </c>
      <c r="D21" s="59">
        <v>400</v>
      </c>
      <c r="E21" s="60">
        <f t="shared" si="0"/>
        <v>2000</v>
      </c>
    </row>
    <row r="22" spans="1:5">
      <c r="A22" s="61" t="s">
        <v>28</v>
      </c>
      <c r="B22" s="57">
        <v>8989</v>
      </c>
      <c r="C22" s="58">
        <v>3</v>
      </c>
      <c r="D22" s="59">
        <v>450</v>
      </c>
      <c r="E22" s="60">
        <f t="shared" si="0"/>
        <v>1350</v>
      </c>
    </row>
    <row r="23" spans="1:5">
      <c r="A23" s="61" t="s">
        <v>29</v>
      </c>
      <c r="B23" s="57">
        <v>8989</v>
      </c>
      <c r="C23" s="58">
        <v>7</v>
      </c>
      <c r="D23" s="59">
        <v>200</v>
      </c>
      <c r="E23" s="62">
        <f t="shared" si="0"/>
        <v>1400</v>
      </c>
    </row>
    <row r="24" spans="1:5">
      <c r="A24" s="61" t="s">
        <v>30</v>
      </c>
      <c r="B24" s="57">
        <v>8989</v>
      </c>
      <c r="C24" s="58">
        <v>5</v>
      </c>
      <c r="D24" s="59">
        <v>400</v>
      </c>
      <c r="E24" s="62">
        <f t="shared" si="0"/>
        <v>2000</v>
      </c>
    </row>
    <row r="25" spans="1:5">
      <c r="A25" s="61" t="s">
        <v>31</v>
      </c>
      <c r="B25" s="57">
        <v>8989</v>
      </c>
      <c r="C25" s="58">
        <v>5</v>
      </c>
      <c r="D25" s="59">
        <v>500</v>
      </c>
      <c r="E25" s="62">
        <f t="shared" si="0"/>
        <v>2500</v>
      </c>
    </row>
    <row r="26" spans="1:5">
      <c r="A26" s="61" t="s">
        <v>32</v>
      </c>
      <c r="B26" s="57">
        <v>8989</v>
      </c>
      <c r="C26" s="58">
        <v>10</v>
      </c>
      <c r="D26" s="59">
        <v>500</v>
      </c>
      <c r="E26" s="62">
        <f t="shared" si="0"/>
        <v>5000</v>
      </c>
    </row>
    <row r="27" spans="1:5">
      <c r="A27" s="61" t="s">
        <v>33</v>
      </c>
      <c r="B27" s="57">
        <v>8989</v>
      </c>
      <c r="C27" s="58">
        <v>10</v>
      </c>
      <c r="D27" s="59">
        <v>500</v>
      </c>
      <c r="E27" s="62">
        <f t="shared" si="0"/>
        <v>5000</v>
      </c>
    </row>
    <row r="28" spans="1:5">
      <c r="A28" s="61" t="s">
        <v>34</v>
      </c>
      <c r="B28" s="57">
        <v>8989</v>
      </c>
      <c r="C28" s="58">
        <v>15</v>
      </c>
      <c r="D28" s="59">
        <v>500</v>
      </c>
      <c r="E28" s="62">
        <f t="shared" si="0"/>
        <v>7500</v>
      </c>
    </row>
    <row r="29" spans="1:5">
      <c r="A29" s="61" t="s">
        <v>35</v>
      </c>
      <c r="B29" s="57">
        <v>8989</v>
      </c>
      <c r="C29" s="58">
        <v>10</v>
      </c>
      <c r="D29" s="59">
        <v>500</v>
      </c>
      <c r="E29" s="62">
        <f t="shared" si="0"/>
        <v>5000</v>
      </c>
    </row>
    <row r="30" ht="15.15" spans="1:5">
      <c r="A30" s="63"/>
      <c r="B30" s="64"/>
      <c r="C30" s="65"/>
      <c r="D30" s="66"/>
      <c r="E30" s="67"/>
    </row>
    <row r="31" spans="1:5">
      <c r="A31" s="68" t="s">
        <v>36</v>
      </c>
      <c r="B31" s="69"/>
      <c r="C31" s="70" t="s">
        <v>37</v>
      </c>
      <c r="D31" s="71"/>
      <c r="E31" s="72">
        <f>SUM(E18:E30)</f>
        <v>38250</v>
      </c>
    </row>
    <row r="32" spans="1:5">
      <c r="A32" s="73"/>
      <c r="B32" s="74"/>
      <c r="C32" s="75" t="s">
        <v>38</v>
      </c>
      <c r="D32" s="76"/>
      <c r="E32" s="77">
        <v>1000</v>
      </c>
    </row>
    <row r="33" spans="1:5">
      <c r="A33" s="73"/>
      <c r="B33" s="74"/>
      <c r="C33" s="78" t="s">
        <v>39</v>
      </c>
      <c r="D33" s="79"/>
      <c r="E33" s="80">
        <f>SUM(E31:E32)</f>
        <v>39250</v>
      </c>
    </row>
    <row r="34" spans="1:5">
      <c r="A34" s="73"/>
      <c r="B34" s="74"/>
      <c r="C34" s="81" t="s">
        <v>40</v>
      </c>
      <c r="D34" s="82"/>
      <c r="E34" s="83">
        <f>ROUND(E33*9%,0)</f>
        <v>3533</v>
      </c>
    </row>
    <row r="35" spans="1:5">
      <c r="A35" s="73"/>
      <c r="B35" s="74"/>
      <c r="C35" s="81" t="s">
        <v>41</v>
      </c>
      <c r="D35" s="82"/>
      <c r="E35" s="83">
        <f>ROUND(E33*9%,0)</f>
        <v>3533</v>
      </c>
    </row>
    <row r="36" ht="15.15" spans="1:5">
      <c r="A36" s="84"/>
      <c r="B36" s="85"/>
      <c r="C36" s="86" t="s">
        <v>42</v>
      </c>
      <c r="D36" s="87"/>
      <c r="E36" s="88">
        <f>SUM(E33:E35)</f>
        <v>46316</v>
      </c>
    </row>
    <row r="37" spans="1:5">
      <c r="A37" s="89" t="s">
        <v>43</v>
      </c>
      <c r="B37" s="90"/>
      <c r="C37" s="90"/>
      <c r="D37" s="90"/>
      <c r="E37" s="91"/>
    </row>
    <row r="38" spans="1:5">
      <c r="A38" s="92" t="s">
        <v>44</v>
      </c>
      <c r="B38" s="93"/>
      <c r="C38" s="93"/>
      <c r="D38" s="93"/>
      <c r="E38" s="94" t="s">
        <v>45</v>
      </c>
    </row>
    <row r="39" spans="1:5">
      <c r="A39" s="95"/>
      <c r="B39" s="93"/>
      <c r="C39" s="93"/>
      <c r="D39" s="93"/>
      <c r="E39" s="94"/>
    </row>
    <row r="40" spans="1:5">
      <c r="A40" s="96" t="s">
        <v>46</v>
      </c>
      <c r="B40" s="93"/>
      <c r="C40" s="93"/>
      <c r="D40" s="93"/>
      <c r="E40" s="94"/>
    </row>
    <row r="41" spans="1:5">
      <c r="A41" s="33"/>
      <c r="B41" s="93"/>
      <c r="C41" s="93"/>
      <c r="D41" s="93"/>
      <c r="E41" s="94"/>
    </row>
    <row r="42" spans="1:5">
      <c r="A42" s="33"/>
      <c r="B42" s="93"/>
      <c r="C42" s="93"/>
      <c r="D42" s="93"/>
      <c r="E42" s="94"/>
    </row>
    <row r="43" spans="1:5">
      <c r="A43" s="33"/>
      <c r="B43" s="93"/>
      <c r="C43" s="93"/>
      <c r="D43" s="93"/>
      <c r="E43" s="94" t="s">
        <v>47</v>
      </c>
    </row>
    <row r="44" ht="15.15" spans="1:5">
      <c r="A44" s="97"/>
      <c r="B44" s="98"/>
      <c r="C44" s="98"/>
      <c r="D44" s="98"/>
      <c r="E44" s="99"/>
    </row>
  </sheetData>
  <mergeCells count="16">
    <mergeCell ref="A1:C1"/>
    <mergeCell ref="D1:E1"/>
    <mergeCell ref="C2:D2"/>
    <mergeCell ref="C3:D3"/>
    <mergeCell ref="C4:D4"/>
    <mergeCell ref="C5:D5"/>
    <mergeCell ref="C9:E9"/>
    <mergeCell ref="C15:E15"/>
    <mergeCell ref="C31:D31"/>
    <mergeCell ref="C32:D32"/>
    <mergeCell ref="C33:D33"/>
    <mergeCell ref="C34:D34"/>
    <mergeCell ref="C35:D35"/>
    <mergeCell ref="C36:D36"/>
    <mergeCell ref="A44:E44"/>
    <mergeCell ref="A31:B36"/>
  </mergeCells>
  <pageMargins left="0.37" right="0.26" top="0.28" bottom="0.15" header="0.3" footer="0.3"/>
  <pageSetup paperSize="1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2017-08-07T11:17:00Z</dcterms:created>
  <cp:lastPrinted>2017-08-07T11:51:00Z</cp:lastPrinted>
  <dcterms:modified xsi:type="dcterms:W3CDTF">2026-05-22T05:57:08Z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E6A497DB06EA4DC2B30BFA1743F5CDD8_13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