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" sheetId="1" r:id="rId1"/>
  </sheets>
  <externalReferences>
    <externalReference r:id="rId2"/>
  </externalReferences>
  <definedNames>
    <definedName name="billrange">[1]Formula!$G$20:$H$569</definedName>
    <definedName name="_xlnm.Print_Area" localSheetId="0">sheet!$A$1:$I$39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<sst xmlns="http://schemas.openxmlformats.org/spreadsheetml/2006/main" count="60" uniqueCount="56">
  <si>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TAX INVOICE ( Original / Duplicate)</t>
  </si>
  <si>
    <t xml:space="preserve">Invoice No.      </t>
  </si>
  <si>
    <t>865/2026-27</t>
  </si>
  <si>
    <t>Book No.</t>
  </si>
  <si>
    <t>: 001</t>
  </si>
  <si>
    <t xml:space="preserve">Date                  </t>
  </si>
  <si>
    <t>17.04.2026</t>
  </si>
  <si>
    <t>PO No.</t>
  </si>
  <si>
    <t>: 3487</t>
  </si>
  <si>
    <t xml:space="preserve">GSTIN No.            </t>
  </si>
  <si>
    <t>24FTRGK9865HH</t>
  </si>
  <si>
    <t>Challan No.</t>
  </si>
  <si>
    <t>: 23497</t>
  </si>
  <si>
    <t xml:space="preserve">PAN No.           </t>
  </si>
  <si>
    <t>FTRGK9865HH</t>
  </si>
  <si>
    <t>Vehical No.</t>
  </si>
  <si>
    <t>: GJ01F2587</t>
  </si>
  <si>
    <t>Billing Address  :</t>
  </si>
  <si>
    <t>Shipping Address :</t>
  </si>
  <si>
    <t>Adventure Ranz Pvt. Ltd.</t>
  </si>
  <si>
    <t xml:space="preserve"> </t>
  </si>
  <si>
    <t>Plot No. 44, Sector-20, Dwarka- 110075
Telefax:011-56456525</t>
  </si>
  <si>
    <t>GSTIN            :</t>
  </si>
  <si>
    <t>078DFGHJ412421SF</t>
  </si>
  <si>
    <t xml:space="preserve">GSTIN      :  </t>
  </si>
  <si>
    <t/>
  </si>
  <si>
    <t>Transport: DIRECT</t>
  </si>
  <si>
    <t xml:space="preserve">G.R. No.: </t>
  </si>
  <si>
    <t>State         :</t>
  </si>
  <si>
    <t>GUJARAT</t>
  </si>
  <si>
    <t>State Code</t>
  </si>
  <si>
    <t>:</t>
  </si>
  <si>
    <t>S.No.</t>
  </si>
  <si>
    <t>DESCRIPTION OF GOODS</t>
  </si>
  <si>
    <t>HSN/SAC 
CODE</t>
  </si>
  <si>
    <t>QUANTITY</t>
  </si>
  <si>
    <t>RATE</t>
  </si>
  <si>
    <t>Amount  (Rs.)</t>
  </si>
  <si>
    <t>Item No. 1</t>
  </si>
  <si>
    <t>Item No. 2</t>
  </si>
  <si>
    <t>Total</t>
  </si>
  <si>
    <t>Freight Charges</t>
  </si>
  <si>
    <t>Grand Total</t>
  </si>
  <si>
    <t>Add:- SGST @ 2.5%</t>
  </si>
  <si>
    <t>Add:- CGST @ 2.5%</t>
  </si>
  <si>
    <t>E.&amp;.O.E.</t>
  </si>
  <si>
    <t>Grand Total (Including Tax)</t>
  </si>
  <si>
    <t xml:space="preserve">Rupees : </t>
  </si>
  <si>
    <t>__________________________Only/-</t>
  </si>
  <si>
    <t>Terms &amp; Conditions :</t>
  </si>
  <si>
    <t>1. Any complaint in regard to rates will not be entertained if not lodged in writing within one week of receipt of this bill &amp; any complaint to quality &amp; quality within 3 days of the receipt of the goods.</t>
  </si>
  <si>
    <t>For ABC CO</t>
  </si>
  <si>
    <t>2. Bills not paid on presentation will be subject to interest @ 24% per annum.</t>
  </si>
  <si>
    <t xml:space="preserve">3. All disputes subject to Delhi Jurisdiction.  </t>
  </si>
  <si>
    <t xml:space="preserve">Authorised Signatory   </t>
  </si>
  <si>
    <t>Computer Generated Invoice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</si>
</sst>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3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2"/>
      <color theme="1"/>
      <name val="Rockwell"/>
      <charset val="134"/>
    </font>
    <font>
      <b/>
      <sz val="11"/>
      <color theme="1"/>
      <name val="Calibri"/>
      <charset val="134"/>
      <scheme val="minor"/>
    </font>
    <font>
      <b/>
      <sz val="22"/>
      <color rgb="FFFFFF0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u/>
      <sz val="12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4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1" fillId="0" borderId="44" applyNumberFormat="0" applyFill="0" applyAlignment="0" applyProtection="0">
      <alignment vertical="center"/>
    </xf>
    <xf numFmtId="0" fontId="22" fillId="0" borderId="4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46" applyNumberFormat="0" applyAlignment="0" applyProtection="0">
      <alignment vertical="center"/>
    </xf>
    <xf numFmtId="0" fontId="24" fillId="7" borderId="47" applyNumberFormat="0" applyAlignment="0" applyProtection="0">
      <alignment vertical="center"/>
    </xf>
    <xf numFmtId="0" fontId="25" fillId="7" borderId="46" applyNumberFormat="0" applyAlignment="0" applyProtection="0">
      <alignment vertical="center"/>
    </xf>
    <xf numFmtId="0" fontId="26" fillId="8" borderId="48" applyNumberFormat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8" fillId="0" borderId="50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43" fontId="34" fillId="0" borderId="0" applyFont="0" applyFill="0" applyBorder="0" applyAlignment="0" applyProtection="0"/>
    <xf numFmtId="0" fontId="34" fillId="0" borderId="0"/>
  </cellStyleXfs>
  <cellXfs count="155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2" fillId="2" borderId="0" xfId="0" applyFont="1" applyFill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0" fillId="3" borderId="4" xfId="0" applyFont="1" applyFill="1" applyBorder="1"/>
    <xf numFmtId="0" fontId="0" fillId="3" borderId="0" xfId="0" applyFont="1" applyFill="1"/>
    <xf numFmtId="0" fontId="0" fillId="3" borderId="5" xfId="0" applyFont="1" applyFill="1" applyBorder="1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Fill="1" applyAlignment="1" applyProtection="1">
      <protection locked="0"/>
    </xf>
    <xf numFmtId="0" fontId="5" fillId="0" borderId="0" xfId="0" applyFont="1"/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0" fillId="0" borderId="4" xfId="0" applyFont="1" applyBorder="1"/>
    <xf numFmtId="0" fontId="3" fillId="0" borderId="0" xfId="0" applyFont="1"/>
    <xf numFmtId="0" fontId="0" fillId="0" borderId="5" xfId="0" applyFont="1" applyBorder="1"/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0" xfId="0" applyFont="1" applyBorder="1"/>
    <xf numFmtId="0" fontId="1" fillId="0" borderId="10" xfId="0" applyFont="1" applyBorder="1" applyAlignment="1">
      <alignment horizontal="left"/>
    </xf>
    <xf numFmtId="0" fontId="0" fillId="0" borderId="10" xfId="0" applyFont="1" applyBorder="1"/>
    <xf numFmtId="0" fontId="0" fillId="0" borderId="11" xfId="0" applyFont="1" applyBorder="1"/>
    <xf numFmtId="0" fontId="7" fillId="0" borderId="0" xfId="0" applyFont="1" applyProtection="1">
      <protection locked="0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7" fillId="0" borderId="0" xfId="0" applyFont="1"/>
    <xf numFmtId="0" fontId="7" fillId="0" borderId="0" xfId="0" applyFont="1" applyFill="1" applyBorder="1"/>
    <xf numFmtId="0" fontId="1" fillId="0" borderId="0" xfId="0" applyFont="1" applyBorder="1"/>
    <xf numFmtId="0" fontId="7" fillId="0" borderId="5" xfId="0" applyFont="1" applyBorder="1"/>
    <xf numFmtId="0" fontId="8" fillId="0" borderId="1" xfId="0" applyFont="1" applyBorder="1" applyAlignment="1"/>
    <xf numFmtId="0" fontId="8" fillId="0" borderId="2" xfId="0" applyFont="1" applyBorder="1" applyAlignment="1"/>
    <xf numFmtId="0" fontId="8" fillId="0" borderId="3" xfId="0" applyFont="1" applyBorder="1" applyAlignment="1"/>
    <xf numFmtId="0" fontId="7" fillId="0" borderId="2" xfId="0" applyFont="1" applyBorder="1"/>
    <xf numFmtId="0" fontId="7" fillId="0" borderId="4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>
      <alignment horizontal="left"/>
    </xf>
    <xf numFmtId="0" fontId="0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8" xfId="0" applyFont="1" applyBorder="1"/>
    <xf numFmtId="0" fontId="9" fillId="0" borderId="12" xfId="0" applyFont="1" applyBorder="1" applyAlignment="1">
      <alignment horizontal="left"/>
    </xf>
    <xf numFmtId="0" fontId="0" fillId="0" borderId="13" xfId="0" applyFont="1" applyBorder="1"/>
    <xf numFmtId="0" fontId="9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3" xfId="0" applyFont="1" applyBorder="1"/>
    <xf numFmtId="0" fontId="9" fillId="0" borderId="15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horizontal="left" vertical="top"/>
    </xf>
    <xf numFmtId="0" fontId="7" fillId="0" borderId="6" xfId="0" applyFont="1" applyBorder="1" applyAlignment="1"/>
    <xf numFmtId="0" fontId="7" fillId="0" borderId="7" xfId="0" applyFont="1" applyBorder="1" applyAlignment="1"/>
    <xf numFmtId="0" fontId="7" fillId="0" borderId="16" xfId="0" applyFont="1" applyBorder="1" applyAlignment="1"/>
    <xf numFmtId="0" fontId="7" fillId="0" borderId="17" xfId="0" applyFont="1" applyBorder="1" applyAlignment="1"/>
    <xf numFmtId="0" fontId="7" fillId="0" borderId="18" xfId="0" applyFont="1" applyBorder="1" applyAlignment="1"/>
    <xf numFmtId="0" fontId="0" fillId="0" borderId="18" xfId="0" applyFont="1" applyBorder="1"/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right" vertical="center" wrapText="1"/>
    </xf>
    <xf numFmtId="0" fontId="0" fillId="0" borderId="25" xfId="0" applyFont="1" applyBorder="1" applyAlignment="1">
      <alignment horizontal="center" vertical="center"/>
    </xf>
    <xf numFmtId="0" fontId="11" fillId="0" borderId="26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/>
      <protection locked="0"/>
    </xf>
    <xf numFmtId="0" fontId="11" fillId="0" borderId="27" xfId="0" applyFont="1" applyBorder="1" applyAlignment="1" applyProtection="1">
      <alignment horizontal="left" vertical="center"/>
      <protection locked="0"/>
    </xf>
    <xf numFmtId="177" fontId="0" fillId="0" borderId="28" xfId="1" applyNumberFormat="1" applyFont="1" applyBorder="1" applyAlignment="1">
      <alignment horizontal="center" vertical="center"/>
    </xf>
    <xf numFmtId="2" fontId="0" fillId="0" borderId="26" xfId="1" applyNumberFormat="1" applyFont="1" applyBorder="1" applyAlignment="1">
      <alignment horizontal="center" vertical="center"/>
    </xf>
    <xf numFmtId="2" fontId="0" fillId="0" borderId="27" xfId="1" applyNumberFormat="1" applyFont="1" applyBorder="1" applyAlignment="1">
      <alignment horizontal="center" vertical="center"/>
    </xf>
    <xf numFmtId="177" fontId="0" fillId="0" borderId="29" xfId="1" applyNumberFormat="1" applyFont="1" applyBorder="1" applyAlignment="1">
      <alignment horizontal="center" vertical="center"/>
    </xf>
    <xf numFmtId="0" fontId="0" fillId="0" borderId="3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 wrapText="1"/>
    </xf>
    <xf numFmtId="1" fontId="0" fillId="0" borderId="32" xfId="1" applyNumberFormat="1" applyFont="1" applyBorder="1" applyAlignment="1">
      <alignment horizontal="center" vertical="center"/>
    </xf>
    <xf numFmtId="2" fontId="0" fillId="0" borderId="30" xfId="1" applyNumberFormat="1" applyFont="1" applyBorder="1" applyAlignment="1">
      <alignment horizontal="center" vertical="center"/>
    </xf>
    <xf numFmtId="2" fontId="0" fillId="0" borderId="31" xfId="1" applyNumberFormat="1" applyFont="1" applyBorder="1" applyAlignment="1">
      <alignment horizontal="center" vertical="center"/>
    </xf>
    <xf numFmtId="177" fontId="0" fillId="0" borderId="33" xfId="1" applyNumberFormat="1" applyFont="1" applyBorder="1" applyAlignment="1">
      <alignment horizontal="center" vertical="center"/>
    </xf>
    <xf numFmtId="0" fontId="0" fillId="0" borderId="19" xfId="0" applyFont="1" applyBorder="1" applyAlignment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 wrapText="1"/>
    </xf>
    <xf numFmtId="177" fontId="0" fillId="0" borderId="32" xfId="1" applyNumberFormat="1" applyFont="1" applyBorder="1" applyAlignment="1">
      <alignment horizontal="center" vertical="center"/>
    </xf>
    <xf numFmtId="177" fontId="0" fillId="0" borderId="24" xfId="1" applyNumberFormat="1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177" fontId="3" fillId="0" borderId="24" xfId="1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34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177" fontId="3" fillId="0" borderId="24" xfId="1" applyNumberFormat="1" applyFont="1" applyBorder="1" applyAlignment="1">
      <alignment horizontal="right" vertical="center"/>
    </xf>
    <xf numFmtId="177" fontId="0" fillId="0" borderId="0" xfId="0" applyNumberFormat="1" applyFont="1" applyAlignment="1">
      <alignment vertical="center"/>
    </xf>
    <xf numFmtId="43" fontId="0" fillId="0" borderId="0" xfId="0" applyNumberFormat="1" applyFont="1" applyAlignment="1">
      <alignment vertical="center"/>
    </xf>
    <xf numFmtId="0" fontId="3" fillId="0" borderId="37" xfId="0" applyFont="1" applyBorder="1" applyAlignment="1">
      <alignment horizontal="left"/>
    </xf>
    <xf numFmtId="0" fontId="0" fillId="0" borderId="21" xfId="0" applyFont="1" applyBorder="1" applyAlignment="1">
      <alignment horizontal="left"/>
    </xf>
    <xf numFmtId="0" fontId="3" fillId="0" borderId="21" xfId="0" applyFont="1" applyBorder="1" applyAlignment="1"/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177" fontId="3" fillId="0" borderId="38" xfId="1" applyNumberFormat="1" applyFont="1" applyBorder="1" applyAlignment="1">
      <alignment horizontal="center"/>
    </xf>
    <xf numFmtId="43" fontId="0" fillId="0" borderId="0" xfId="0" applyNumberFormat="1" applyFont="1"/>
    <xf numFmtId="0" fontId="3" fillId="0" borderId="9" xfId="0" applyFont="1" applyBorder="1"/>
    <xf numFmtId="0" fontId="0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37" xfId="0" applyFont="1" applyBorder="1"/>
    <xf numFmtId="0" fontId="0" fillId="0" borderId="21" xfId="0" applyFont="1" applyBorder="1"/>
    <xf numFmtId="0" fontId="0" fillId="0" borderId="39" xfId="0" applyFont="1" applyBorder="1"/>
    <xf numFmtId="0" fontId="11" fillId="0" borderId="4" xfId="0" applyFont="1" applyBorder="1" applyAlignment="1">
      <alignment horizontal="left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0" fillId="0" borderId="4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top"/>
    </xf>
    <xf numFmtId="0" fontId="0" fillId="0" borderId="0" xfId="0" applyBorder="1"/>
    <xf numFmtId="0" fontId="7" fillId="0" borderId="5" xfId="0" applyFont="1" applyBorder="1" applyAlignment="1">
      <alignment horizontal="right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 vertical="center"/>
    </xf>
    <xf numFmtId="0" fontId="14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590550</xdr:colOff>
      <xdr:row>8</xdr:row>
      <xdr:rowOff>38100</xdr:rowOff>
    </xdr:from>
    <xdr:to>
      <xdr:col>2</xdr:col>
      <xdr:colOff>704850</xdr:colOff>
      <xdr:row>11</xdr:row>
      <xdr:rowOff>190500</xdr:rowOff>
    </xdr:to>
    <xdr:pic>
      <xdr:nvPicPr>
        <xdr:cNvPr id="2" name="Picture 8"/>
        <xdr:cNvPicPr>
          <a:picLocks noChangeAspect="1" noChangeArrowheads="1"/>
        </xdr:cNvPicPr>
      </xdr:nvPicPr>
      <xdr:blipFill>
        <a:blip r:embed="rId1" cstate="print">
          <a:lum contrast="40000"/>
        </a:blip>
        <a:srcRect/>
        <a:stretch>
          <a:fillRect/>
        </a:stretch>
      </xdr:blipFill>
      <xdr:spPr>
        <a:xfrm>
          <a:off x="1168400" y="1661795"/>
          <a:ext cx="114300" cy="809625"/>
        </a:xfrm>
        <a:prstGeom prst="rect">
          <a:avLst/>
        </a:prstGeom>
        <a:noFill/>
      </xdr:spPr>
    </xdr:pic>
    <xdr:clientData/>
  </xdr:twoCellAnchor>
  <xdr:oneCellAnchor>
    <xdr:from>
      <xdr:col>2</xdr:col>
      <xdr:colOff>435959</xdr:colOff>
      <xdr:row>2</xdr:row>
      <xdr:rowOff>105314</xdr:rowOff>
    </xdr:from>
    <xdr:ext cx="5146281" cy="724181"/>
    <xdr:sp>
      <xdr:nvSpPr>
        <xdr:cNvPr id="4" name="Rectangle 3"/>
        <xdr:cNvSpPr/>
      </xdr:nvSpPr>
      <xdr:spPr>
        <a:xfrm>
          <a:off x="1013460" y="421005"/>
          <a:ext cx="5146040" cy="724535"/>
        </a:xfrm>
        <a:prstGeom prst="rect">
          <a:avLst/>
        </a:prstGeom>
        <a:noFill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non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40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Your</a:t>
          </a:r>
          <a:r>
            <a:rPr lang="en-US" sz="4000" b="1" cap="all" spc="0" baseline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 Company Logo</a:t>
          </a:r>
          <a:endParaRPr lang="en-US" sz="40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ompany\Companies\1.%20%20%20%20%20%20%20Imprex\Sales%20and%20Service%20Invoice%20Format\Invoice%20Format%20from%201-7-2017%20with%20GST%20(6-8-1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List"/>
      <sheetName val="Formula"/>
      <sheetName val="Invoice with Letterhead"/>
      <sheetName val="Number to Text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U48"/>
  <sheetViews>
    <sheetView showGridLines="0" tabSelected="1" view="pageBreakPreview" zoomScaleNormal="100" workbookViewId="0">
      <selection activeCell="G11" sqref="G11:I11"/>
    </sheetView>
  </sheetViews>
  <sheetFormatPr defaultColWidth="9.13888888888889" defaultRowHeight="14.4"/>
  <cols>
    <col min="1" max="1" width="6.85185185185185" style="5" customWidth="1"/>
    <col min="2" max="2" width="1.57407407407407" style="5" customWidth="1"/>
    <col min="3" max="3" width="12.5740740740741" style="5" customWidth="1"/>
    <col min="4" max="4" width="34" style="5" customWidth="1"/>
    <col min="5" max="5" width="11.1388888888889" style="5" customWidth="1"/>
    <col min="6" max="6" width="11.5740740740741" style="5" customWidth="1"/>
    <col min="7" max="7" width="11.712962962963" style="5" customWidth="1"/>
    <col min="8" max="8" width="1.57407407407407" style="5" customWidth="1"/>
    <col min="9" max="9" width="15.287037037037" style="5" customWidth="1"/>
    <col min="10" max="10" width="9.13888888888889" style="5" customWidth="1"/>
    <col min="11" max="12" width="9.13888888888889" style="5"/>
    <col min="13" max="13" width="1.57407407407407" style="5" customWidth="1"/>
    <col min="14" max="16384" width="9.13888888888889" style="5"/>
  </cols>
  <sheetData>
    <row r="1" spans="1:14">
      <c r="A1" s="6"/>
      <c r="B1" s="7"/>
      <c r="C1" s="7"/>
      <c r="D1" s="7"/>
      <c r="E1" s="7"/>
      <c r="F1" s="7"/>
      <c r="G1" s="7"/>
      <c r="H1" s="7"/>
      <c r="I1" s="8"/>
      <c r="J1" s="9"/>
      <c r="K1" s="10"/>
      <c r="L1" s="10"/>
    </row>
    <row r="2" ht="10.5" customHeight="1" spans="1:14">
      <c r="A2" s="11"/>
      <c r="B2" s="12"/>
      <c r="C2" s="12"/>
      <c r="D2" s="12"/>
      <c r="E2" s="12"/>
      <c r="F2" s="12"/>
      <c r="G2" s="12"/>
      <c r="H2" s="12"/>
      <c r="I2" s="13"/>
      <c r="J2" s="9"/>
      <c r="K2" s="14"/>
      <c r="L2" s="14"/>
    </row>
    <row r="3" ht="28.8" spans="1:14">
      <c r="A3" s="11"/>
      <c r="B3" s="12"/>
      <c r="C3" s="12"/>
      <c r="D3" s="12"/>
      <c r="E3" s="12"/>
      <c r="F3" s="12"/>
      <c r="G3" s="12"/>
      <c r="H3" s="12"/>
      <c r="I3" s="13"/>
      <c r="J3" s="15"/>
      <c r="K3" s="16"/>
      <c r="L3" s="16"/>
    </row>
    <row r="4" ht="23.4" spans="1:14">
      <c r="A4" s="11"/>
      <c r="B4" s="12"/>
      <c r="C4" s="12"/>
      <c r="D4" s="12"/>
      <c r="E4" s="12"/>
      <c r="F4" s="12"/>
      <c r="G4" s="12"/>
      <c r="H4" s="12"/>
      <c r="I4" s="13"/>
      <c r="J4" s="17"/>
    </row>
    <row r="5" spans="1:14">
      <c r="A5" s="11"/>
      <c r="B5" s="12"/>
      <c r="C5" s="12"/>
      <c r="D5" s="12"/>
      <c r="E5" s="12"/>
      <c r="F5" s="12"/>
      <c r="G5" s="12"/>
      <c r="H5" s="12"/>
      <c r="I5" s="13"/>
    </row>
    <row r="6" spans="1:14">
      <c r="A6" s="11"/>
      <c r="B6" s="12"/>
      <c r="C6" s="12"/>
      <c r="D6" s="12"/>
      <c r="E6" s="12"/>
      <c r="F6" s="12"/>
      <c r="G6" s="12"/>
      <c r="H6" s="12"/>
      <c r="I6" s="13"/>
    </row>
    <row r="7" ht="21.95" customHeight="1" spans="1:14">
      <c r="A7" s="18" t="s">
        <v>0</v>
      </c>
      <c r="B7" s="19"/>
      <c r="C7" s="19"/>
      <c r="D7" s="19"/>
      <c r="E7" s="19"/>
      <c r="F7" s="19"/>
      <c r="G7" s="19"/>
      <c r="H7" s="19"/>
      <c r="I7" s="20"/>
      <c r="J7" s="9"/>
      <c r="K7" s="10"/>
      <c r="L7" s="10"/>
      <c r="M7"/>
    </row>
    <row r="8" hidden="1" spans="1:14">
      <c r="A8" s="21"/>
      <c r="C8" s="22"/>
      <c r="D8" s="22"/>
      <c r="E8" s="22"/>
      <c r="I8" s="23"/>
      <c r="J8" s="14"/>
      <c r="K8" s="14"/>
      <c r="L8" s="14"/>
      <c r="M8"/>
    </row>
    <row r="9" ht="17.25" customHeight="1" spans="1:14">
      <c r="A9" s="24" t="s">
        <v>1</v>
      </c>
      <c r="B9" s="25"/>
      <c r="C9" s="25"/>
      <c r="D9" s="25" t="s">
        <v>2</v>
      </c>
      <c r="E9" s="25"/>
      <c r="F9" s="26" t="s">
        <v>3</v>
      </c>
      <c r="G9" s="27" t="s">
        <v>4</v>
      </c>
      <c r="H9" s="28"/>
      <c r="I9" s="29"/>
      <c r="J9" s="15"/>
      <c r="K9" s="16"/>
      <c r="L9" s="16"/>
      <c r="M9" s="30"/>
      <c r="N9" s="16"/>
    </row>
    <row r="10" ht="17.25" customHeight="1" spans="1:14">
      <c r="A10" s="31" t="s">
        <v>5</v>
      </c>
      <c r="B10" s="32"/>
      <c r="C10" s="32"/>
      <c r="D10" s="32" t="s">
        <v>6</v>
      </c>
      <c r="E10" s="32"/>
      <c r="F10" s="33" t="s">
        <v>7</v>
      </c>
      <c r="G10" s="34" t="s">
        <v>8</v>
      </c>
      <c r="H10" s="34"/>
      <c r="I10" s="35"/>
      <c r="J10" s="22"/>
      <c r="K10" s="16"/>
      <c r="L10" s="16"/>
      <c r="M10" s="36"/>
      <c r="N10" s="16"/>
    </row>
    <row r="11" ht="17.25" customHeight="1" spans="1:14">
      <c r="A11" s="31" t="s">
        <v>9</v>
      </c>
      <c r="B11" s="32"/>
      <c r="C11" s="32"/>
      <c r="D11" s="33" t="s">
        <v>10</v>
      </c>
      <c r="E11" s="33"/>
      <c r="F11" s="33" t="s">
        <v>11</v>
      </c>
      <c r="G11" s="34" t="s">
        <v>12</v>
      </c>
      <c r="H11" s="34"/>
      <c r="I11" s="35"/>
      <c r="J11" s="37"/>
      <c r="K11" s="16"/>
      <c r="L11" s="16"/>
      <c r="M11" s="37"/>
      <c r="N11" s="16"/>
    </row>
    <row r="12" ht="17.25" customHeight="1" spans="1:14">
      <c r="A12" s="31" t="s">
        <v>13</v>
      </c>
      <c r="B12" s="32"/>
      <c r="C12" s="32"/>
      <c r="D12" s="33" t="s">
        <v>14</v>
      </c>
      <c r="E12" s="33"/>
      <c r="F12" s="33" t="s">
        <v>15</v>
      </c>
      <c r="G12" s="38" t="s">
        <v>16</v>
      </c>
      <c r="H12" s="33"/>
      <c r="I12" s="39"/>
      <c r="J12" s="22"/>
      <c r="K12" s="16"/>
      <c r="L12" s="16"/>
      <c r="M12" s="36"/>
      <c r="N12" s="16"/>
    </row>
    <row r="13" ht="15.6" spans="1:14">
      <c r="A13" s="40" t="s">
        <v>17</v>
      </c>
      <c r="B13" s="41"/>
      <c r="C13" s="41"/>
      <c r="D13" s="42"/>
      <c r="E13" s="40" t="s">
        <v>18</v>
      </c>
      <c r="F13" s="41"/>
      <c r="G13" s="7"/>
      <c r="H13" s="43"/>
      <c r="I13" s="8"/>
    </row>
    <row r="14" ht="15.6" spans="1:14">
      <c r="A14" s="44" t="s">
        <v>19</v>
      </c>
      <c r="B14" s="45"/>
      <c r="C14" s="45"/>
      <c r="D14" s="46"/>
      <c r="E14" s="47" t="s">
        <v>20</v>
      </c>
      <c r="F14" s="48"/>
      <c r="G14" s="48"/>
      <c r="H14" s="48"/>
      <c r="I14" s="49"/>
    </row>
    <row r="15" ht="15.75" customHeight="1" spans="1:14">
      <c r="A15" s="50" t="s">
        <v>21</v>
      </c>
      <c r="B15" s="51"/>
      <c r="C15" s="51"/>
      <c r="D15" s="52"/>
      <c r="E15" s="53" t="s">
        <v>20</v>
      </c>
      <c r="F15" s="54"/>
      <c r="G15" s="54"/>
      <c r="H15" s="54"/>
      <c r="I15" s="55"/>
    </row>
    <row r="16" ht="15.75" customHeight="1" spans="1:14">
      <c r="A16" s="50"/>
      <c r="B16" s="51"/>
      <c r="C16" s="51"/>
      <c r="D16" s="52"/>
      <c r="E16" s="53"/>
      <c r="F16" s="54"/>
      <c r="G16" s="54"/>
      <c r="H16" s="54"/>
      <c r="I16" s="55"/>
    </row>
    <row r="17" ht="16.35" spans="1:11">
      <c r="A17" s="56" t="s">
        <v>22</v>
      </c>
      <c r="B17" s="57"/>
      <c r="C17" s="57"/>
      <c r="D17" s="58" t="s">
        <v>23</v>
      </c>
      <c r="E17" s="56" t="s">
        <v>24</v>
      </c>
      <c r="F17" s="57" t="s">
        <v>25</v>
      </c>
      <c r="G17" s="59"/>
      <c r="H17" s="60"/>
      <c r="I17" s="61"/>
    </row>
    <row r="18" spans="1:11">
      <c r="A18" s="62" t="s">
        <v>26</v>
      </c>
      <c r="B18" s="7"/>
      <c r="C18" s="63"/>
      <c r="D18" s="64" t="s">
        <v>27</v>
      </c>
      <c r="E18" s="65" t="s">
        <v>28</v>
      </c>
      <c r="F18" s="66" t="s">
        <v>29</v>
      </c>
      <c r="G18" s="67" t="s">
        <v>30</v>
      </c>
      <c r="H18" s="68" t="s">
        <v>31</v>
      </c>
      <c r="I18" s="69">
        <v>24</v>
      </c>
    </row>
    <row r="19" ht="6" customHeight="1" spans="1:11">
      <c r="A19" s="70"/>
      <c r="B19" s="71"/>
      <c r="C19" s="72"/>
      <c r="D19" s="73"/>
      <c r="E19" s="74"/>
      <c r="F19" s="72"/>
      <c r="G19" s="75"/>
      <c r="H19" s="59"/>
      <c r="I19" s="61"/>
    </row>
    <row r="20" s="1" customFormat="1" ht="28.8" spans="1:11">
      <c r="A20" s="76" t="s">
        <v>32</v>
      </c>
      <c r="B20" s="77" t="s">
        <v>33</v>
      </c>
      <c r="C20" s="78"/>
      <c r="D20" s="79"/>
      <c r="E20" s="80" t="s">
        <v>34</v>
      </c>
      <c r="F20" s="81" t="s">
        <v>35</v>
      </c>
      <c r="G20" s="77" t="s">
        <v>36</v>
      </c>
      <c r="H20" s="79"/>
      <c r="I20" s="82" t="s">
        <v>37</v>
      </c>
    </row>
    <row r="21" s="2" customFormat="1" ht="24.75" customHeight="1" spans="1:11">
      <c r="A21" s="83"/>
      <c r="B21" s="84"/>
      <c r="C21" s="85"/>
      <c r="D21" s="86"/>
      <c r="E21" s="86"/>
      <c r="F21" s="87"/>
      <c r="G21" s="88"/>
      <c r="H21" s="89"/>
      <c r="I21" s="90"/>
    </row>
    <row r="22" s="2" customFormat="1" ht="63" customHeight="1" spans="1:11">
      <c r="A22" s="83">
        <v>1</v>
      </c>
      <c r="B22" s="91" t="s">
        <v>38</v>
      </c>
      <c r="C22" s="92"/>
      <c r="D22" s="93"/>
      <c r="E22" s="94">
        <v>7623</v>
      </c>
      <c r="F22" s="95">
        <v>500</v>
      </c>
      <c r="G22" s="96">
        <v>40</v>
      </c>
      <c r="H22" s="97"/>
      <c r="I22" s="98">
        <f>F22*G22</f>
        <v>20000</v>
      </c>
    </row>
    <row r="23" s="2" customFormat="1" ht="47.25" customHeight="1" spans="1:11">
      <c r="A23" s="83">
        <v>2</v>
      </c>
      <c r="B23" s="91" t="s">
        <v>39</v>
      </c>
      <c r="C23" s="92"/>
      <c r="D23" s="93"/>
      <c r="E23" s="94">
        <v>8374</v>
      </c>
      <c r="F23" s="95">
        <v>150</v>
      </c>
      <c r="G23" s="96">
        <v>20</v>
      </c>
      <c r="H23" s="97"/>
      <c r="I23" s="98">
        <f>F23*G23</f>
        <v>3000</v>
      </c>
    </row>
    <row r="24" s="2" customFormat="1" ht="54" customHeight="1" spans="1:11">
      <c r="A24" s="83">
        <v>3</v>
      </c>
      <c r="B24" s="91" t="s">
        <v>39</v>
      </c>
      <c r="C24" s="92"/>
      <c r="D24" s="93"/>
      <c r="E24" s="94">
        <v>8855</v>
      </c>
      <c r="F24" s="95">
        <v>350</v>
      </c>
      <c r="G24" s="96">
        <v>20</v>
      </c>
      <c r="H24" s="97"/>
      <c r="I24" s="98">
        <f>F24*G24</f>
        <v>7000</v>
      </c>
    </row>
    <row r="25" s="2" customFormat="1" ht="67.5" customHeight="1" spans="1:11">
      <c r="A25" s="83">
        <v>4</v>
      </c>
      <c r="B25" s="91" t="s">
        <v>39</v>
      </c>
      <c r="C25" s="92"/>
      <c r="D25" s="93"/>
      <c r="E25" s="94">
        <v>8374</v>
      </c>
      <c r="F25" s="95">
        <v>250</v>
      </c>
      <c r="G25" s="96">
        <v>20</v>
      </c>
      <c r="H25" s="97"/>
      <c r="I25" s="98">
        <f>F25*G25</f>
        <v>5000</v>
      </c>
    </row>
    <row r="26" s="2" customFormat="1" ht="32.25" customHeight="1" spans="1:11">
      <c r="A26" s="99"/>
      <c r="B26" s="100" t="s">
        <v>25</v>
      </c>
      <c r="C26" s="101"/>
      <c r="D26" s="102"/>
      <c r="E26" s="103"/>
      <c r="F26" s="104"/>
      <c r="G26" s="96"/>
      <c r="H26" s="97"/>
      <c r="I26" s="105"/>
    </row>
    <row r="27" s="2" customFormat="1" spans="1:11">
      <c r="A27" s="106"/>
      <c r="B27" s="107"/>
      <c r="C27" s="107"/>
      <c r="D27" s="107"/>
      <c r="E27" s="108"/>
      <c r="F27" s="109" t="s">
        <v>40</v>
      </c>
      <c r="G27" s="110"/>
      <c r="H27" s="111"/>
      <c r="I27" s="112">
        <f>SUM(I21:I26)</f>
        <v>35000</v>
      </c>
    </row>
    <row r="28" s="2" customFormat="1" spans="1:11">
      <c r="A28" s="113"/>
      <c r="B28" s="114"/>
      <c r="C28" s="114"/>
      <c r="D28" s="114"/>
      <c r="E28" s="115"/>
      <c r="F28" s="116" t="s">
        <v>41</v>
      </c>
      <c r="G28" s="117"/>
      <c r="H28" s="118"/>
      <c r="I28" s="119">
        <v>300</v>
      </c>
      <c r="J28" s="120"/>
      <c r="K28" s="121"/>
    </row>
    <row r="29" s="2" customFormat="1" spans="1:11">
      <c r="A29" s="113"/>
      <c r="B29" s="114"/>
      <c r="C29" s="114"/>
      <c r="D29" s="114"/>
      <c r="E29" s="115"/>
      <c r="F29" s="109" t="s">
        <v>42</v>
      </c>
      <c r="G29" s="110"/>
      <c r="H29" s="111"/>
      <c r="I29" s="119">
        <f>SUM(I27:I28)</f>
        <v>35300</v>
      </c>
      <c r="J29" s="120"/>
      <c r="K29" s="121"/>
    </row>
    <row r="30" s="2" customFormat="1" spans="1:11">
      <c r="A30" s="113"/>
      <c r="B30" s="114"/>
      <c r="C30" s="114"/>
      <c r="D30" s="114"/>
      <c r="E30" s="115"/>
      <c r="F30" s="116" t="s">
        <v>43</v>
      </c>
      <c r="G30" s="117"/>
      <c r="H30" s="118"/>
      <c r="I30" s="112">
        <f>ROUND(I29*9%,0)</f>
        <v>3177</v>
      </c>
      <c r="J30" s="120"/>
      <c r="K30" s="121"/>
    </row>
    <row r="31" s="2" customFormat="1" spans="1:11">
      <c r="A31" s="113"/>
      <c r="B31" s="114"/>
      <c r="C31" s="114"/>
      <c r="D31" s="114"/>
      <c r="E31" s="115"/>
      <c r="F31" s="116" t="s">
        <v>44</v>
      </c>
      <c r="G31" s="117"/>
      <c r="H31" s="118"/>
      <c r="I31" s="112">
        <f>ROUND(I29*9%,0)</f>
        <v>3177</v>
      </c>
    </row>
    <row r="32" spans="1:11">
      <c r="A32" s="122" t="s">
        <v>45</v>
      </c>
      <c r="B32" s="123"/>
      <c r="C32" s="123"/>
      <c r="D32" s="123"/>
      <c r="E32" s="124"/>
      <c r="F32" s="125" t="s">
        <v>46</v>
      </c>
      <c r="G32" s="126"/>
      <c r="H32" s="127"/>
      <c r="I32" s="128">
        <f>SUM(I29:I31)</f>
        <v>41654</v>
      </c>
      <c r="J32" s="129"/>
    </row>
    <row r="33" ht="15.6" spans="1:203">
      <c r="A33" s="130" t="s">
        <v>47</v>
      </c>
      <c r="B33" s="131"/>
      <c r="C33" s="132" t="s">
        <v>48</v>
      </c>
      <c r="D33" s="131"/>
      <c r="E33" s="133"/>
      <c r="F33" s="133"/>
      <c r="G33" s="134"/>
      <c r="H33" s="134"/>
      <c r="I33" s="135"/>
      <c r="J33" s="129"/>
    </row>
    <row r="34" spans="1:203">
      <c r="A34" s="136"/>
      <c r="B34" s="137"/>
      <c r="C34" s="137"/>
      <c r="D34" s="137"/>
      <c r="E34" s="137"/>
      <c r="F34" s="137"/>
      <c r="G34" s="137"/>
      <c r="H34" s="137"/>
      <c r="I34" s="138"/>
    </row>
    <row r="35" ht="18" customHeight="1" spans="1:203">
      <c r="A35" s="139" t="s">
        <v>49</v>
      </c>
      <c r="B35" s="140"/>
      <c r="C35" s="140"/>
      <c r="D35" s="140"/>
      <c r="E35" s="140"/>
      <c r="F35" s="140"/>
      <c r="G35" s="140"/>
      <c r="H35" s="140"/>
      <c r="I35" s="141"/>
    </row>
    <row r="36" s="3" customFormat="1" ht="48.75" customHeight="1" spans="1:203">
      <c r="A36" s="142" t="s">
        <v>50</v>
      </c>
      <c r="B36" s="92"/>
      <c r="C36" s="92"/>
      <c r="D36" s="92"/>
      <c r="E36" s="92"/>
      <c r="F36" s="92"/>
      <c r="G36" s="143"/>
      <c r="H36" s="144"/>
      <c r="I36" s="145" t="s">
        <v>51</v>
      </c>
    </row>
    <row r="37" s="3" customFormat="1" ht="15.6" spans="1:203">
      <c r="A37" s="146" t="s">
        <v>52</v>
      </c>
      <c r="B37" s="147"/>
      <c r="C37" s="147"/>
      <c r="D37" s="147"/>
      <c r="E37" s="147"/>
      <c r="F37" s="147"/>
      <c r="G37" s="144"/>
      <c r="H37" s="144"/>
      <c r="I37" s="148"/>
    </row>
    <row r="38" s="4" customFormat="1" ht="19.5" customHeight="1" spans="1:203">
      <c r="A38" s="146" t="s">
        <v>53</v>
      </c>
      <c r="B38" s="147"/>
      <c r="C38" s="147"/>
      <c r="D38" s="147"/>
      <c r="E38" s="147"/>
      <c r="F38" s="147"/>
      <c r="G38" s="45"/>
      <c r="H38" s="149"/>
      <c r="I38" s="150" t="s">
        <v>54</v>
      </c>
    </row>
    <row r="39" ht="15.15" spans="1:203">
      <c r="A39" s="151" t="s">
        <v>55</v>
      </c>
      <c r="B39" s="152"/>
      <c r="C39" s="152"/>
      <c r="D39" s="152"/>
      <c r="E39" s="152"/>
      <c r="F39" s="152"/>
      <c r="G39" s="152"/>
      <c r="H39" s="152"/>
      <c r="I39" s="153"/>
    </row>
    <row r="48" spans="1:203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</row>
  </sheetData>
  <mergeCells count="36">
    <mergeCell ref="A7:I7"/>
    <mergeCell ref="A9:C9"/>
    <mergeCell ref="A10:C10"/>
    <mergeCell ref="G10:I10"/>
    <mergeCell ref="A11:C11"/>
    <mergeCell ref="G11:I11"/>
    <mergeCell ref="A12:C12"/>
    <mergeCell ref="A14:D14"/>
    <mergeCell ref="E14:I14"/>
    <mergeCell ref="B20:D20"/>
    <mergeCell ref="G20:H20"/>
    <mergeCell ref="B21:D21"/>
    <mergeCell ref="G21:H21"/>
    <mergeCell ref="B22:D22"/>
    <mergeCell ref="G22:H22"/>
    <mergeCell ref="B23:D23"/>
    <mergeCell ref="G23:H23"/>
    <mergeCell ref="B24:D24"/>
    <mergeCell ref="G24:H24"/>
    <mergeCell ref="B25:D25"/>
    <mergeCell ref="G25:H25"/>
    <mergeCell ref="B26:D26"/>
    <mergeCell ref="G26:H26"/>
    <mergeCell ref="F27:H27"/>
    <mergeCell ref="F28:H28"/>
    <mergeCell ref="F29:H29"/>
    <mergeCell ref="F30:H30"/>
    <mergeCell ref="F31:H31"/>
    <mergeCell ref="F32:H32"/>
    <mergeCell ref="A36:F36"/>
    <mergeCell ref="A37:F37"/>
    <mergeCell ref="A38:F38"/>
    <mergeCell ref="A39:I39"/>
    <mergeCell ref="J1:J2"/>
    <mergeCell ref="A15:D16"/>
    <mergeCell ref="E15:I16"/>
  </mergeCells>
  <printOptions horizontalCentered="1"/>
  <pageMargins left="0.17" right="0.16" top="0.17" bottom="0.1" header="0.16" footer="0.08"/>
  <pageSetup paperSize="9" scale="9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HCL</dc:creator>
  <cp:lastModifiedBy>admin</cp:lastModifiedBy>
  <dcterms:created xsi:type="dcterms:W3CDTF">2017-08-08T18:06:00Z</dcterms:created>
  <cp:lastPrinted>2017-08-08T18:14:00Z</cp:lastPrinted>
  <dcterms:modified xsi:type="dcterms:W3CDTF">2026-05-22T05:52:00Z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E6B318721B6D4142A6888021377A5D10_13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